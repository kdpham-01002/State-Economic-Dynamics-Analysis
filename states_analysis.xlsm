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4.xml" ContentType="application/vnd.openxmlformats-officedocument.spreadsheetml.table+xml"/>
  <Override PartName="/xl/comments3.xml" ContentType="application/vnd.openxmlformats-officedocument.spreadsheetml.comment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omments4.xml" ContentType="application/vnd.openxmlformats-officedocument.spreadsheetml.comments+xml"/>
  <Override PartName="/xl/charts/chart1.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omments5.xml" ContentType="application/vnd.openxmlformats-officedocument.spreadsheetml.comments+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hidePivotFieldList="1" defaultThemeVersion="202300"/>
  <mc:AlternateContent xmlns:mc="http://schemas.openxmlformats.org/markup-compatibility/2006">
    <mc:Choice Requires="x15">
      <x15ac:absPath xmlns:x15ac="http://schemas.microsoft.com/office/spreadsheetml/2010/11/ac" url="https://umass-my.sharepoint.com/personal/kdpham_umass_edu/Documents/School Courses/Grad Courses/Mgmt 601/Project/"/>
    </mc:Choice>
  </mc:AlternateContent>
  <xr:revisionPtr revIDLastSave="6105" documentId="8_{EE739C32-9688-1241-9292-1E9CF579B8C0}" xr6:coauthVersionLast="47" xr6:coauthVersionMax="47" xr10:uidLastSave="{B7A37879-77A7-984C-A18D-CBA193C9AF35}"/>
  <bookViews>
    <workbookView xWindow="4280" yWindow="880" windowWidth="27440" windowHeight="22500" tabRatio="747" xr2:uid="{7D61E666-984E-184E-BA4B-88EC069E182D}"/>
  </bookViews>
  <sheets>
    <sheet name="Information" sheetId="14" r:id="rId1"/>
    <sheet name="Education Rankings" sheetId="16" r:id="rId2"/>
    <sheet name="Living Conditions" sheetId="12" r:id="rId3"/>
    <sheet name="Income and Expense" sheetId="5" r:id="rId4"/>
    <sheet name="Income Comparision" sheetId="22" r:id="rId5"/>
    <sheet name="Unemployment Comparision" sheetId="21" r:id="rId6"/>
    <sheet name="US Population" sheetId="2" r:id="rId7"/>
    <sheet name="US Cost of Living Index 2023" sheetId="1" r:id="rId8"/>
    <sheet name="US Median Income 2012 - 2023" sheetId="10" r:id="rId9"/>
    <sheet name="US Unemployment Rates" sheetId="4" r:id="rId10"/>
  </sheets>
  <definedNames>
    <definedName name="_xlchart.v5.0" hidden="1">'US Median Income 2012 - 2023'!$B$4</definedName>
    <definedName name="_xlchart.v5.1" hidden="1">'US Median Income 2012 - 2023'!$B$5:$B$55</definedName>
    <definedName name="_xlchart.v5.2" hidden="1">'US Median Income 2012 - 2023'!$H$4</definedName>
    <definedName name="_xlchart.v5.3" hidden="1">'US Median Income 2012 - 2023'!$H$5:$H$55</definedName>
    <definedName name="_xlchart.v5.4" hidden="1">'US Cost of Living Index 2023'!$B$4</definedName>
    <definedName name="_xlchart.v5.5" hidden="1">'US Cost of Living Index 2023'!$B$5:$B$55</definedName>
    <definedName name="_xlchart.v5.6" hidden="1">'US Cost of Living Index 2023'!$C$4</definedName>
    <definedName name="_xlchart.v5.7" hidden="1">'US Cost of Living Index 2023'!$C$5:$C$55</definedName>
    <definedName name="Slicer_State1">#N/A</definedName>
    <definedName name="Slicer_States">#N/A</definedName>
  </definedNames>
  <calcPr calcId="191029"/>
  <pivotCaches>
    <pivotCache cacheId="6" r:id="rId11"/>
    <pivotCache cacheId="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5" l="1"/>
  <c r="D6" i="5"/>
  <c r="F6" i="5"/>
  <c r="C7" i="5"/>
  <c r="D7" i="5"/>
  <c r="F7" i="5"/>
  <c r="E11" i="5"/>
  <c r="E7" i="5" s="1"/>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6" i="5" s="1"/>
  <c r="E41" i="5"/>
  <c r="E42" i="5"/>
  <c r="E43" i="5"/>
  <c r="E44" i="5"/>
  <c r="E45" i="5"/>
  <c r="E46" i="5"/>
  <c r="E47" i="5"/>
  <c r="E48" i="5"/>
  <c r="E49" i="5"/>
  <c r="E50" i="5"/>
  <c r="E51" i="5"/>
  <c r="E52" i="5"/>
  <c r="E53" i="5"/>
  <c r="E54" i="5"/>
  <c r="E55" i="5"/>
  <c r="E56" i="5"/>
  <c r="E57" i="5"/>
  <c r="E58" i="5"/>
  <c r="E59" i="5"/>
  <c r="E60" i="5"/>
  <c r="E61" i="5"/>
  <c r="E5" i="5" l="1"/>
  <c r="C5" i="5"/>
  <c r="D5" i="5"/>
  <c r="F5" i="5"/>
  <c r="H7" i="5" l="1"/>
  <c r="H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Khoa Pham</author>
  </authors>
  <commentList>
    <comment ref="A1" authorId="0" shapeId="0" xr:uid="{0ACDA30A-FDE2-4B83-A1C8-F12F1E4C9008}">
      <text>
        <r>
          <rPr>
            <b/>
            <sz val="9"/>
            <color rgb="FF000000"/>
            <rFont val="Tahoma"/>
            <family val="2"/>
          </rPr>
          <t>Macro Buttons + Conditional Formating</t>
        </r>
      </text>
    </comment>
    <comment ref="E4" authorId="0" shapeId="0" xr:uid="{F629A100-AA0A-4EC1-B1BC-05597DFDE1EA}">
      <text>
        <r>
          <rPr>
            <b/>
            <sz val="20"/>
            <color rgb="FF000000"/>
            <rFont val="Aptos Narrow"/>
            <family val="2"/>
          </rPr>
          <t xml:space="preserve">The Student Success subcategory evaluates states across 15 indicators, including SAT scores, expulsion rates, dropout /graduation rates, and rates of students who go on to attend college.
</t>
        </r>
      </text>
    </comment>
    <comment ref="F4" authorId="0" shapeId="0" xr:uid="{34F746DC-EDA4-49BD-B926-E7814EB2FBB6}">
      <text>
        <r>
          <rPr>
            <b/>
            <sz val="20"/>
            <color rgb="FF000000"/>
            <rFont val="Aptos Narrow"/>
            <family val="2"/>
          </rPr>
          <t>The Student Safety subcategory evaluates states across 15 indicators, including bullying rate, instances of crimes such as robbery or sexual assault, and the prevalence of illegal drug sales on school property.</t>
        </r>
      </text>
    </comment>
    <comment ref="G4" authorId="0" shapeId="0" xr:uid="{B4AA4787-F177-4F51-8E5B-CF99712E01E2}">
      <text>
        <r>
          <rPr>
            <b/>
            <sz val="20"/>
            <color rgb="FF000000"/>
            <rFont val="Aptos Narrow"/>
            <family val="2"/>
          </rPr>
          <t>The School Quality subcategory evaluates states across 12 indicators, including % of teachers who meet all state licensing requirements, annual per-student spending, student-to-teacher ratio, schools that require health education.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Khoa Pham</author>
  </authors>
  <commentList>
    <comment ref="B1" authorId="0" shapeId="0" xr:uid="{1787F70A-8F2D-418B-AD1C-B828E0AA2922}">
      <text>
        <r>
          <rPr>
            <b/>
            <sz val="12"/>
            <color rgb="FF000000"/>
            <rFont val="Tahoma"/>
            <family val="2"/>
          </rPr>
          <t xml:space="preserve">- 8 Condtional Formatings
</t>
        </r>
        <r>
          <rPr>
            <b/>
            <sz val="12"/>
            <color rgb="FF000000"/>
            <rFont val="Tahoma"/>
            <family val="2"/>
          </rPr>
          <t>- 9 Macros</t>
        </r>
      </text>
    </comment>
    <comment ref="I7" authorId="0" shapeId="0" xr:uid="{EC5C29AB-74A6-7D48-AC5C-A4C683E1E6EC}">
      <text>
        <r>
          <rPr>
            <b/>
            <sz val="10"/>
            <color rgb="FF000000"/>
            <rFont val="Tahoma"/>
            <family val="2"/>
          </rPr>
          <t>per 100k of the population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Khoa Pham</author>
  </authors>
  <commentList>
    <comment ref="B1" authorId="0" shapeId="0" xr:uid="{D43790A5-3A45-4699-9D59-5C840FE74A5C}">
      <text>
        <r>
          <rPr>
            <b/>
            <sz val="9"/>
            <color rgb="FF000000"/>
            <rFont val="Tahoma"/>
            <family val="2"/>
          </rPr>
          <t xml:space="preserve">- Return Data Table
</t>
        </r>
        <r>
          <rPr>
            <b/>
            <sz val="9"/>
            <color rgb="FF000000"/>
            <rFont val="Tahoma"/>
            <family val="2"/>
          </rPr>
          <t xml:space="preserve">- Drop Lists
</t>
        </r>
        <r>
          <rPr>
            <b/>
            <sz val="9"/>
            <color rgb="FF000000"/>
            <rFont val="Tahoma"/>
            <family val="2"/>
          </rPr>
          <t xml:space="preserve">- Data Validation
</t>
        </r>
        <r>
          <rPr>
            <b/>
            <sz val="9"/>
            <color rgb="FF000000"/>
            <rFont val="Tahoma"/>
            <family val="2"/>
          </rPr>
          <t xml:space="preserve">- IF/ OR/ XLOOKUP
</t>
        </r>
        <r>
          <rPr>
            <b/>
            <sz val="9"/>
            <color rgb="FF000000"/>
            <rFont val="Tahoma"/>
            <family val="2"/>
          </rPr>
          <t>- 2 Map Charts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Khoa Pham</author>
  </authors>
  <commentList>
    <comment ref="A1" authorId="0" shapeId="0" xr:uid="{918EE21B-8FA9-412E-A239-AC94709A2743}">
      <text>
        <r>
          <rPr>
            <b/>
            <sz val="9"/>
            <color rgb="FF000000"/>
            <rFont val="Tahoma"/>
            <family val="2"/>
          </rPr>
          <t xml:space="preserve">- Pivot Chart and Table
</t>
        </r>
        <r>
          <rPr>
            <b/>
            <sz val="9"/>
            <color rgb="FF000000"/>
            <rFont val="Tahoma"/>
            <family val="2"/>
          </rPr>
          <t xml:space="preserve">- Slicer
</t>
        </r>
        <r>
          <rPr>
            <b/>
            <sz val="9"/>
            <color rgb="FF000000"/>
            <rFont val="Tahoma"/>
            <family val="2"/>
          </rPr>
          <t>- Sparkline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Khoa Pham</author>
  </authors>
  <commentList>
    <comment ref="A1" authorId="0" shapeId="0" xr:uid="{A92F9440-CDAB-4CB9-8320-E97E3A36AC21}">
      <text>
        <r>
          <rPr>
            <b/>
            <sz val="9"/>
            <color rgb="FF000000"/>
            <rFont val="Tahoma"/>
            <family val="2"/>
          </rPr>
          <t xml:space="preserve">- Pivot Chart and Table
</t>
        </r>
        <r>
          <rPr>
            <b/>
            <sz val="9"/>
            <color rgb="FF000000"/>
            <rFont val="Tahoma"/>
            <family val="2"/>
          </rPr>
          <t xml:space="preserve">- Slicer
</t>
        </r>
        <r>
          <rPr>
            <b/>
            <sz val="9"/>
            <color rgb="FF000000"/>
            <rFont val="Tahoma"/>
            <family val="2"/>
          </rPr>
          <t>- Sparkline</t>
        </r>
      </text>
    </comment>
  </commentList>
</comments>
</file>

<file path=xl/sharedStrings.xml><?xml version="1.0" encoding="utf-8"?>
<sst xmlns="http://schemas.openxmlformats.org/spreadsheetml/2006/main" count="457" uniqueCount="135">
  <si>
    <t>State</t>
  </si>
  <si>
    <t>Grocery</t>
  </si>
  <si>
    <t>Housing</t>
  </si>
  <si>
    <t>Utilities</t>
  </si>
  <si>
    <t>Transportation</t>
  </si>
  <si>
    <t>Health </t>
  </si>
  <si>
    <t>Oklahoma</t>
  </si>
  <si>
    <t>Mississippi</t>
  </si>
  <si>
    <t>Kansas</t>
  </si>
  <si>
    <t>West Virginia</t>
  </si>
  <si>
    <t>Alabama</t>
  </si>
  <si>
    <t>Missouri</t>
  </si>
  <si>
    <t>Arkansas</t>
  </si>
  <si>
    <t>Tennessee</t>
  </si>
  <si>
    <t>Iowa</t>
  </si>
  <si>
    <t>Michigan</t>
  </si>
  <si>
    <t>Georgia</t>
  </si>
  <si>
    <t>Nebraska</t>
  </si>
  <si>
    <t>Louisiana</t>
  </si>
  <si>
    <t>Indiana</t>
  </si>
  <si>
    <t>Kentucky</t>
  </si>
  <si>
    <t>Illinois</t>
  </si>
  <si>
    <t>South Dakota</t>
  </si>
  <si>
    <t>Wyoming</t>
  </si>
  <si>
    <t>Texas</t>
  </si>
  <si>
    <t>New Mexico</t>
  </si>
  <si>
    <t>Minnesota</t>
  </si>
  <si>
    <t>North Dakota</t>
  </si>
  <si>
    <t>Ohio</t>
  </si>
  <si>
    <t>Wisconsin</t>
  </si>
  <si>
    <t>South Carolina</t>
  </si>
  <si>
    <t>North Carolina</t>
  </si>
  <si>
    <t>Pennsylvania</t>
  </si>
  <si>
    <t>Idaho</t>
  </si>
  <si>
    <t>Florida</t>
  </si>
  <si>
    <t>Nevada</t>
  </si>
  <si>
    <t>Delaware</t>
  </si>
  <si>
    <t>Virginia</t>
  </si>
  <si>
    <t>Montana</t>
  </si>
  <si>
    <t>Utah</t>
  </si>
  <si>
    <t>Colorado</t>
  </si>
  <si>
    <t>Arizona</t>
  </si>
  <si>
    <t>Maine</t>
  </si>
  <si>
    <t>Rhode Island</t>
  </si>
  <si>
    <t>Connecticut</t>
  </si>
  <si>
    <t>New Jersey</t>
  </si>
  <si>
    <t>New Hampshire</t>
  </si>
  <si>
    <t>Oregon</t>
  </si>
  <si>
    <t>Vermont</t>
  </si>
  <si>
    <t>Washington</t>
  </si>
  <si>
    <t>Maryland</t>
  </si>
  <si>
    <t>Alaska</t>
  </si>
  <si>
    <t>New York</t>
  </si>
  <si>
    <t>California</t>
  </si>
  <si>
    <t>Massachusetts</t>
  </si>
  <si>
    <t>District of Columbia</t>
  </si>
  <si>
    <t>Hawaii</t>
  </si>
  <si>
    <t>2023 Annual Average Cost of Living</t>
  </si>
  <si>
    <t>States</t>
  </si>
  <si>
    <t>US Unemployment Rates</t>
  </si>
  <si>
    <t>2 People</t>
  </si>
  <si>
    <t>3 People</t>
  </si>
  <si>
    <t>4 People</t>
  </si>
  <si>
    <t>Student Success</t>
  </si>
  <si>
    <t>Student Safety</t>
  </si>
  <si>
    <t>School Quality</t>
  </si>
  <si>
    <t>AvgAnnualSnowfall (in)</t>
  </si>
  <si>
    <t>AvgAnnualSunlight (kJ/m^2)</t>
  </si>
  <si>
    <t>AvgTempF</t>
  </si>
  <si>
    <t>AvgTempC</t>
  </si>
  <si>
    <t>District Of Columbia</t>
  </si>
  <si>
    <t>2023 Rate</t>
  </si>
  <si>
    <t>2023 Rank</t>
  </si>
  <si>
    <t>2022 Rate</t>
  </si>
  <si>
    <t>2022 Rank</t>
  </si>
  <si>
    <t>2021 Rate</t>
  </si>
  <si>
    <t>2021 Rank</t>
  </si>
  <si>
    <t>2020 Rate</t>
  </si>
  <si>
    <t>2020 Rank</t>
  </si>
  <si>
    <t>Sources</t>
  </si>
  <si>
    <t>Cost of Living Data Series | Missouri Economic Research and Information Center (mo.gov)</t>
  </si>
  <si>
    <t>Average Rent By State – Forbes Advisor</t>
  </si>
  <si>
    <t>US Cost of Living</t>
  </si>
  <si>
    <t>US Monthly Rent Rates</t>
  </si>
  <si>
    <t>Grocery Prices by State 2024 (worldpopulationreview.com)</t>
  </si>
  <si>
    <t>US Grocery Price</t>
  </si>
  <si>
    <t>Historical Income Households (census.gov)</t>
  </si>
  <si>
    <t>US Median Income 2023</t>
  </si>
  <si>
    <t>Family Income 2023 | U.S. Trustee Program (justice.gov)</t>
  </si>
  <si>
    <t>Public School Rankings by State 2024 (worldpopulationreview.com)</t>
  </si>
  <si>
    <t>US School Quality</t>
  </si>
  <si>
    <t>Reported violent crime rate in the U.S. by state 2022 | Statista</t>
  </si>
  <si>
    <t>US Crime Rate</t>
  </si>
  <si>
    <t>Best Weather by State 2024 (worldpopulationreview.com)</t>
  </si>
  <si>
    <t>US Weather Conditions</t>
  </si>
  <si>
    <t>State Population Totals (census.gov)</t>
  </si>
  <si>
    <t>Unempoyment Rates for States|Bureau of Labor Statistics</t>
  </si>
  <si>
    <t>US Population</t>
  </si>
  <si>
    <t>1 Earner (2018)</t>
  </si>
  <si>
    <t>1 Earner (2012)</t>
  </si>
  <si>
    <t>US Median Income 2012 - 2018</t>
  </si>
  <si>
    <t>2020 Population</t>
  </si>
  <si>
    <t>2021 Population</t>
  </si>
  <si>
    <t>2022 Population</t>
  </si>
  <si>
    <t>2023 Population</t>
  </si>
  <si>
    <t>United States Population Estimate 2020 - 2023</t>
  </si>
  <si>
    <t>US Unemployment Rates 2020 - 2023</t>
  </si>
  <si>
    <t>2023 Rate (%)</t>
  </si>
  <si>
    <t>2022 Rate (%)</t>
  </si>
  <si>
    <t>2021 Rate (%)</t>
  </si>
  <si>
    <t>2020 Rate (%)</t>
  </si>
  <si>
    <t>1 Earner (2023)</t>
  </si>
  <si>
    <t>Median Income 2012 - 2023</t>
  </si>
  <si>
    <t>Data</t>
  </si>
  <si>
    <t>Population</t>
  </si>
  <si>
    <t>NumOfExtremeWeatherEvents</t>
  </si>
  <si>
    <t>Crime Cases</t>
  </si>
  <si>
    <t>Rank</t>
  </si>
  <si>
    <t>Index</t>
  </si>
  <si>
    <t>Misc.</t>
  </si>
  <si>
    <t>2018 Income</t>
  </si>
  <si>
    <t>2012 Income</t>
  </si>
  <si>
    <t>2023 Income</t>
  </si>
  <si>
    <t>Monthly Rent</t>
  </si>
  <si>
    <t>Monthly Grocery</t>
  </si>
  <si>
    <t>Monthly Income</t>
  </si>
  <si>
    <t>How Much Do You Spend Monthly?</t>
  </si>
  <si>
    <t>How Much Do You Save Monthly?</t>
  </si>
  <si>
    <t>Living Conditions by State in 2023</t>
  </si>
  <si>
    <t>Annual Income</t>
  </si>
  <si>
    <t>Public School Rankings by State in 2023</t>
  </si>
  <si>
    <t>AvgAnnualPrecipitation (in)</t>
  </si>
  <si>
    <t>Income and Expenses by State 2023</t>
  </si>
  <si>
    <t>Income Comparision</t>
  </si>
  <si>
    <t>Unemployment Comparsion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</si>
</sst>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43" formatCode="_(* #,##0.00_);_(* \(#,##0.00\);_(* &quot;-&quot;??_);_(@_)"/>
    <numFmt numFmtId="164" formatCode="_(* #,##0_);_(* \(#,##0\);_(* &quot;-&quot;??_);_(@_)"/>
    <numFmt numFmtId="165" formatCode="&quot;$&quot;#,##0.00"/>
    <numFmt numFmtId="166" formatCode="&quot;$&quot;#,##0"/>
  </numFmts>
  <fonts count="46">
    <font>
      <sz val="12"/>
      <color theme="1"/>
      <name val="Aptos Narrow"/>
      <family val="2"/>
      <scheme val="minor"/>
    </font>
    <font>
      <sz val="12"/>
      <color theme="1"/>
      <name val="Aptos Narrow"/>
      <family val="2"/>
      <scheme val="minor"/>
    </font>
    <font>
      <u/>
      <sz val="12"/>
      <color theme="10"/>
      <name val="Aptos Narrow"/>
      <family val="2"/>
      <scheme val="minor"/>
    </font>
    <font>
      <b/>
      <sz val="12"/>
      <color theme="1"/>
      <name val="Aptos Narrow"/>
      <family val="2"/>
      <scheme val="minor"/>
    </font>
    <font>
      <b/>
      <sz val="14"/>
      <name val="Arial"/>
      <family val="2"/>
    </font>
    <font>
      <sz val="14"/>
      <color theme="1"/>
      <name val="Arial"/>
      <family val="2"/>
    </font>
    <font>
      <b/>
      <sz val="14"/>
      <color theme="1"/>
      <name val="Arial"/>
      <family val="2"/>
    </font>
    <font>
      <b/>
      <sz val="14"/>
      <color theme="1"/>
      <name val="Aptos Narrow"/>
      <family val="2"/>
      <scheme val="minor"/>
    </font>
    <font>
      <b/>
      <sz val="16"/>
      <color theme="1"/>
      <name val="Aptos Narrow"/>
      <family val="2"/>
      <scheme val="minor"/>
    </font>
    <font>
      <b/>
      <sz val="18"/>
      <color theme="1"/>
      <name val="Aptos Narrow"/>
      <family val="2"/>
      <scheme val="minor"/>
    </font>
    <font>
      <b/>
      <sz val="20"/>
      <color theme="1"/>
      <name val="Aptos Narrow"/>
      <family val="2"/>
      <scheme val="minor"/>
    </font>
    <font>
      <b/>
      <sz val="22"/>
      <color theme="1"/>
      <name val="Aptos Narrow"/>
      <family val="2"/>
      <scheme val="minor"/>
    </font>
    <font>
      <b/>
      <sz val="24"/>
      <color theme="1"/>
      <name val="Aptos Narrow"/>
      <family val="2"/>
      <scheme val="minor"/>
    </font>
    <font>
      <b/>
      <sz val="10"/>
      <name val="Verdana"/>
      <family val="2"/>
    </font>
    <font>
      <i/>
      <sz val="18"/>
      <color rgb="FF333333"/>
      <name val="Arial"/>
      <family val="2"/>
    </font>
    <font>
      <b/>
      <sz val="26"/>
      <color rgb="FF000000"/>
      <name val="Times"/>
    </font>
    <font>
      <sz val="18"/>
      <color theme="1"/>
      <name val="Aptos Narrow"/>
      <family val="2"/>
      <scheme val="minor"/>
    </font>
    <font>
      <sz val="12"/>
      <name val="Arial"/>
      <family val="2"/>
    </font>
    <font>
      <sz val="12"/>
      <color rgb="FF333333"/>
      <name val="Arial"/>
      <family val="2"/>
    </font>
    <font>
      <sz val="12"/>
      <color rgb="FF000000"/>
      <name val="MS sans serif"/>
    </font>
    <font>
      <b/>
      <sz val="12"/>
      <name val="MS sans serif"/>
    </font>
    <font>
      <b/>
      <sz val="14"/>
      <color theme="1"/>
      <name val="Aptos Narrow"/>
      <family val="2"/>
      <scheme val="minor"/>
    </font>
    <font>
      <b/>
      <sz val="14"/>
      <color theme="0"/>
      <name val="Arial"/>
      <family val="2"/>
    </font>
    <font>
      <b/>
      <sz val="16"/>
      <color rgb="FF333333"/>
      <name val="Arial"/>
      <family val="2"/>
    </font>
    <font>
      <sz val="16"/>
      <color theme="1"/>
      <name val="Aptos Narrow"/>
      <family val="2"/>
      <scheme val="minor"/>
    </font>
    <font>
      <u/>
      <sz val="14"/>
      <color theme="10"/>
      <name val="Aptos Narrow"/>
      <family val="2"/>
      <scheme val="minor"/>
    </font>
    <font>
      <sz val="8"/>
      <name val="Aptos Narrow"/>
      <family val="2"/>
      <scheme val="minor"/>
    </font>
    <font>
      <sz val="14"/>
      <color theme="1"/>
      <name val="Aptos Narrow"/>
      <family val="2"/>
      <scheme val="minor"/>
    </font>
    <font>
      <b/>
      <sz val="10"/>
      <color rgb="FF000000"/>
      <name val="Tahoma"/>
      <family val="2"/>
    </font>
    <font>
      <sz val="14"/>
      <color theme="1"/>
      <name val="Aptos Narrow"/>
      <family val="2"/>
      <scheme val="minor"/>
    </font>
    <font>
      <sz val="14"/>
      <color theme="1"/>
      <name val="Aptos Narrow"/>
      <family val="2"/>
      <scheme val="minor"/>
    </font>
    <font>
      <b/>
      <sz val="16"/>
      <color theme="1"/>
      <name val="Aptos Narrow"/>
      <family val="2"/>
      <scheme val="minor"/>
    </font>
    <font>
      <b/>
      <sz val="20"/>
      <color rgb="FF000000"/>
      <name val="Aptos Narrow"/>
      <family val="2"/>
    </font>
    <font>
      <b/>
      <sz val="16"/>
      <color theme="0"/>
      <name val="Aptos Narrow"/>
      <family val="2"/>
      <scheme val="minor"/>
    </font>
    <font>
      <b/>
      <sz val="26"/>
      <color theme="1"/>
      <name val="Aptos Narrow"/>
      <family val="2"/>
      <scheme val="minor"/>
    </font>
    <font>
      <b/>
      <sz val="20"/>
      <color theme="5" tint="-0.249977111117893"/>
      <name val="Aptos Narrow"/>
      <family val="2"/>
      <scheme val="minor"/>
    </font>
    <font>
      <b/>
      <sz val="20"/>
      <color theme="9"/>
      <name val="Aptos Narrow"/>
      <family val="2"/>
      <scheme val="minor"/>
    </font>
    <font>
      <b/>
      <sz val="16"/>
      <color theme="0"/>
      <name val="Arial"/>
      <family val="2"/>
    </font>
    <font>
      <b/>
      <sz val="14"/>
      <color rgb="FF000000"/>
      <name val="Aptos Narrow"/>
    </font>
    <font>
      <b/>
      <sz val="20"/>
      <color rgb="FF000000"/>
      <name val="Aptos Narrow"/>
    </font>
    <font>
      <b/>
      <sz val="9"/>
      <color rgb="FF000000"/>
      <name val="Tahoma"/>
      <family val="2"/>
    </font>
    <font>
      <b/>
      <sz val="36"/>
      <color theme="1"/>
      <name val="Aptos Narrow"/>
      <family val="2"/>
      <scheme val="minor"/>
    </font>
    <font>
      <b/>
      <sz val="36"/>
      <color rgb="FF333333"/>
      <name val="Arial"/>
      <family val="2"/>
    </font>
    <font>
      <b/>
      <sz val="12"/>
      <color rgb="FF000000"/>
      <name val="Tahoma"/>
      <family val="2"/>
    </font>
    <font>
      <b/>
      <sz val="14"/>
      <color theme="1"/>
      <name val="Aptos Narrow"/>
      <scheme val="minor"/>
    </font>
    <font>
      <b/>
      <sz val="12"/>
      <color theme="1"/>
      <name val="Aptos Narrow"/>
      <scheme val="minor"/>
    </font>
  </fonts>
  <fills count="13">
    <fill>
      <patternFill patternType="none"/>
    </fill>
    <fill>
      <patternFill patternType="gray125"/>
    </fill>
    <fill>
      <patternFill patternType="solid">
        <fgColor theme="6"/>
        <bgColor indexed="64"/>
      </patternFill>
    </fill>
    <fill>
      <patternFill patternType="solid">
        <fgColor theme="9" tint="0.59999389629810485"/>
        <bgColor indexed="65"/>
      </patternFill>
    </fill>
    <fill>
      <patternFill patternType="solid">
        <fgColor rgb="FFCEE28F"/>
        <bgColor indexed="64"/>
      </patternFill>
    </fill>
    <fill>
      <patternFill patternType="solid">
        <fgColor theme="1" tint="0.499984740745262"/>
        <bgColor indexed="64"/>
      </patternFill>
    </fill>
    <fill>
      <patternFill patternType="solid">
        <fgColor rgb="FFFFC000"/>
        <bgColor indexed="64"/>
      </patternFill>
    </fill>
    <fill>
      <patternFill patternType="solid">
        <fgColor theme="0"/>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bgColor indexed="64"/>
      </patternFill>
    </fill>
    <fill>
      <patternFill patternType="solid">
        <fgColor theme="5" tint="0.79998168889431442"/>
        <bgColor indexed="64"/>
      </patternFill>
    </fill>
    <fill>
      <patternFill patternType="solid">
        <fgColor theme="8" tint="0.79998168889431442"/>
        <bgColor indexed="64"/>
      </patternFill>
    </fill>
  </fills>
  <borders count="11">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
    <xf numFmtId="0" fontId="0" fillId="0" borderId="0"/>
    <xf numFmtId="44" fontId="1" fillId="0" borderId="0" applyFont="0" applyFill="0" applyBorder="0" applyAlignment="0" applyProtection="0"/>
    <xf numFmtId="0" fontId="2" fillId="0" borderId="0" applyNumberFormat="0" applyFill="0" applyBorder="0" applyAlignment="0" applyProtection="0"/>
    <xf numFmtId="43" fontId="1" fillId="0" borderId="0" applyFont="0" applyFill="0" applyBorder="0" applyAlignment="0" applyProtection="0"/>
  </cellStyleXfs>
  <cellXfs count="111">
    <xf numFmtId="0" fontId="0" fillId="0" borderId="0" xfId="0"/>
    <xf numFmtId="0" fontId="3" fillId="0" borderId="0" xfId="0" applyFont="1"/>
    <xf numFmtId="0" fontId="4" fillId="0" borderId="0" xfId="0" applyFont="1" applyAlignment="1">
      <alignment horizontal="center"/>
    </xf>
    <xf numFmtId="0" fontId="6" fillId="0" borderId="0" xfId="0" applyFont="1" applyAlignment="1">
      <alignment horizontal="center"/>
    </xf>
    <xf numFmtId="0" fontId="5" fillId="0" borderId="0" xfId="0" applyFont="1"/>
    <xf numFmtId="0" fontId="0" fillId="0" borderId="0" xfId="0" applyAlignment="1">
      <alignment horizontal="left"/>
    </xf>
    <xf numFmtId="0" fontId="2" fillId="0" borderId="0" xfId="2" applyAlignment="1"/>
    <xf numFmtId="3" fontId="3" fillId="0" borderId="0" xfId="0" applyNumberFormat="1" applyFont="1"/>
    <xf numFmtId="0" fontId="2" fillId="0" borderId="0" xfId="2" applyAlignment="1">
      <alignment horizontal="left"/>
    </xf>
    <xf numFmtId="0" fontId="16" fillId="0" borderId="0" xfId="0" applyFont="1"/>
    <xf numFmtId="0" fontId="7" fillId="0" borderId="0" xfId="0" applyFont="1" applyAlignment="1">
      <alignment horizontal="center" vertical="center"/>
    </xf>
    <xf numFmtId="0" fontId="17" fillId="0" borderId="0" xfId="0" applyFont="1" applyAlignment="1">
      <alignment horizontal="left"/>
    </xf>
    <xf numFmtId="0" fontId="17" fillId="0" borderId="0" xfId="0" applyFont="1" applyAlignment="1">
      <alignment horizontal="right"/>
    </xf>
    <xf numFmtId="0" fontId="20" fillId="0" borderId="1" xfId="0" applyFont="1" applyBorder="1" applyProtection="1">
      <protection locked="0"/>
    </xf>
    <xf numFmtId="0" fontId="13" fillId="0" borderId="0" xfId="0" applyFont="1" applyAlignment="1">
      <alignment vertical="center"/>
    </xf>
    <xf numFmtId="0" fontId="22" fillId="0" borderId="0" xfId="0" applyFont="1" applyAlignment="1">
      <alignment horizontal="center"/>
    </xf>
    <xf numFmtId="0" fontId="0" fillId="0" borderId="0" xfId="0" applyAlignment="1">
      <alignment horizontal="center"/>
    </xf>
    <xf numFmtId="0" fontId="2" fillId="0" borderId="0" xfId="2" applyAlignment="1">
      <alignment vertical="top" wrapText="1"/>
    </xf>
    <xf numFmtId="0" fontId="21" fillId="0" borderId="0" xfId="0" applyFont="1" applyAlignment="1">
      <alignment horizontal="center" vertical="center"/>
    </xf>
    <xf numFmtId="0" fontId="2" fillId="0" borderId="0" xfId="2" applyAlignment="1">
      <alignment wrapText="1"/>
    </xf>
    <xf numFmtId="0" fontId="0" fillId="0" borderId="0" xfId="3" applyNumberFormat="1" applyFont="1"/>
    <xf numFmtId="0" fontId="19" fillId="0" borderId="0" xfId="0" applyFont="1"/>
    <xf numFmtId="164" fontId="0" fillId="0" borderId="0" xfId="3" applyNumberFormat="1" applyFont="1"/>
    <xf numFmtId="166" fontId="0" fillId="0" borderId="0" xfId="1" applyNumberFormat="1" applyFont="1"/>
    <xf numFmtId="0" fontId="9" fillId="0" borderId="0" xfId="0" applyFont="1" applyAlignment="1">
      <alignment vertical="center"/>
    </xf>
    <xf numFmtId="0" fontId="12" fillId="0" borderId="0" xfId="0" applyFont="1" applyAlignment="1">
      <alignment vertical="center"/>
    </xf>
    <xf numFmtId="0" fontId="17" fillId="0" borderId="0" xfId="0" applyFont="1" applyAlignment="1">
      <alignment horizontal="center" vertical="center"/>
    </xf>
    <xf numFmtId="0" fontId="8" fillId="5" borderId="3" xfId="0" applyFont="1" applyFill="1" applyBorder="1" applyAlignment="1">
      <alignment horizontal="left" vertical="center"/>
    </xf>
    <xf numFmtId="0" fontId="8" fillId="5" borderId="4" xfId="0" applyFont="1" applyFill="1" applyBorder="1" applyAlignment="1">
      <alignment horizontal="center" vertical="center"/>
    </xf>
    <xf numFmtId="0" fontId="31" fillId="5" borderId="4" xfId="0" applyFont="1" applyFill="1" applyBorder="1" applyAlignment="1">
      <alignment horizontal="center" vertical="center"/>
    </xf>
    <xf numFmtId="0" fontId="31" fillId="5" borderId="5" xfId="0" applyFont="1" applyFill="1" applyBorder="1" applyAlignment="1">
      <alignment horizontal="center" vertical="center"/>
    </xf>
    <xf numFmtId="0" fontId="29" fillId="0" borderId="2" xfId="0" applyFont="1" applyBorder="1" applyAlignment="1">
      <alignment horizontal="center" vertical="center"/>
    </xf>
    <xf numFmtId="164" fontId="29" fillId="0" borderId="2" xfId="3" applyNumberFormat="1" applyFont="1" applyBorder="1" applyAlignment="1">
      <alignment horizontal="center" vertical="center"/>
    </xf>
    <xf numFmtId="0" fontId="29" fillId="0" borderId="9" xfId="0" applyFont="1" applyBorder="1" applyAlignment="1">
      <alignment horizontal="center" vertical="center"/>
    </xf>
    <xf numFmtId="0" fontId="18" fillId="0" borderId="6" xfId="0" applyFont="1" applyBorder="1" applyAlignment="1">
      <alignment horizontal="center" vertical="center"/>
    </xf>
    <xf numFmtId="6" fontId="18" fillId="0" borderId="2" xfId="0" applyNumberFormat="1" applyFont="1" applyBorder="1" applyAlignment="1">
      <alignment horizontal="center" vertical="center"/>
    </xf>
    <xf numFmtId="165" fontId="0" fillId="0" borderId="2" xfId="1" applyNumberFormat="1" applyFont="1" applyBorder="1" applyAlignment="1">
      <alignment horizontal="center" vertical="center"/>
    </xf>
    <xf numFmtId="166" fontId="0" fillId="0" borderId="7" xfId="1" applyNumberFormat="1" applyFont="1" applyBorder="1" applyAlignment="1">
      <alignment horizontal="center" vertical="center"/>
    </xf>
    <xf numFmtId="0" fontId="18" fillId="0" borderId="8" xfId="0" applyFont="1" applyBorder="1" applyAlignment="1">
      <alignment horizontal="center" vertical="center"/>
    </xf>
    <xf numFmtId="6" fontId="18" fillId="0" borderId="9" xfId="0" applyNumberFormat="1" applyFont="1" applyBorder="1" applyAlignment="1">
      <alignment horizontal="center" vertical="center"/>
    </xf>
    <xf numFmtId="165" fontId="0" fillId="0" borderId="9" xfId="1" applyNumberFormat="1" applyFont="1" applyBorder="1" applyAlignment="1">
      <alignment horizontal="center" vertical="center"/>
    </xf>
    <xf numFmtId="166" fontId="0" fillId="0" borderId="10" xfId="1" applyNumberFormat="1" applyFont="1" applyBorder="1" applyAlignment="1">
      <alignment horizontal="center" vertical="center"/>
    </xf>
    <xf numFmtId="0" fontId="14" fillId="7" borderId="0" xfId="0" applyFont="1" applyFill="1" applyAlignment="1">
      <alignment wrapText="1"/>
    </xf>
    <xf numFmtId="0" fontId="0" fillId="7" borderId="0" xfId="0" applyFill="1"/>
    <xf numFmtId="0" fontId="0" fillId="7" borderId="0" xfId="0" applyFill="1" applyAlignment="1">
      <alignment horizontal="center" vertical="center"/>
    </xf>
    <xf numFmtId="0" fontId="23" fillId="7" borderId="0" xfId="0" applyFont="1" applyFill="1" applyAlignment="1">
      <alignment vertical="center"/>
    </xf>
    <xf numFmtId="0" fontId="10" fillId="7" borderId="0" xfId="0" applyFont="1" applyFill="1" applyAlignment="1">
      <alignment horizontal="center"/>
    </xf>
    <xf numFmtId="0" fontId="34" fillId="7" borderId="0" xfId="0" applyFont="1" applyFill="1"/>
    <xf numFmtId="0" fontId="0" fillId="7" borderId="6" xfId="0" applyFill="1" applyBorder="1"/>
    <xf numFmtId="0" fontId="25" fillId="7" borderId="7" xfId="2" applyFont="1" applyFill="1" applyBorder="1"/>
    <xf numFmtId="0" fontId="0" fillId="7" borderId="8" xfId="0" applyFill="1" applyBorder="1"/>
    <xf numFmtId="0" fontId="25" fillId="7" borderId="10" xfId="2" applyFont="1" applyFill="1" applyBorder="1"/>
    <xf numFmtId="0" fontId="27" fillId="0" borderId="6" xfId="0" applyFont="1" applyBorder="1" applyAlignment="1">
      <alignment horizontal="left" vertical="center"/>
    </xf>
    <xf numFmtId="0" fontId="27" fillId="0" borderId="8" xfId="0" applyFont="1" applyBorder="1" applyAlignment="1">
      <alignment horizontal="left" vertical="center"/>
    </xf>
    <xf numFmtId="0" fontId="7" fillId="0" borderId="3" xfId="0" applyFont="1" applyBorder="1" applyAlignment="1">
      <alignment horizontal="left" vertical="center"/>
    </xf>
    <xf numFmtId="0" fontId="7" fillId="2" borderId="4" xfId="0" applyFont="1" applyFill="1" applyBorder="1" applyAlignment="1">
      <alignment horizontal="center" vertical="center"/>
    </xf>
    <xf numFmtId="0" fontId="7" fillId="0" borderId="4" xfId="0" applyFont="1" applyBorder="1" applyAlignment="1">
      <alignment horizontal="center" vertical="center"/>
    </xf>
    <xf numFmtId="0" fontId="7" fillId="0" borderId="5" xfId="0" applyFont="1" applyBorder="1" applyAlignment="1">
      <alignment horizontal="center" vertical="center"/>
    </xf>
    <xf numFmtId="165" fontId="27" fillId="0" borderId="2" xfId="1" applyNumberFormat="1" applyFont="1" applyBorder="1" applyAlignment="1">
      <alignment horizontal="center" vertical="center"/>
    </xf>
    <xf numFmtId="165" fontId="9" fillId="7" borderId="0" xfId="1" applyNumberFormat="1" applyFont="1" applyFill="1" applyAlignment="1">
      <alignment horizontal="left" vertical="center"/>
    </xf>
    <xf numFmtId="0" fontId="35" fillId="7" borderId="0" xfId="0" applyFont="1" applyFill="1" applyAlignment="1">
      <alignment horizontal="left" vertical="center"/>
    </xf>
    <xf numFmtId="0" fontId="0" fillId="4" borderId="6" xfId="0" applyFill="1" applyBorder="1" applyAlignment="1">
      <alignment horizontal="left"/>
    </xf>
    <xf numFmtId="0" fontId="0" fillId="4" borderId="2" xfId="0" applyFill="1" applyBorder="1" applyAlignment="1">
      <alignment horizontal="center"/>
    </xf>
    <xf numFmtId="0" fontId="0" fillId="7" borderId="2" xfId="0" applyFill="1" applyBorder="1" applyAlignment="1">
      <alignment horizontal="left"/>
    </xf>
    <xf numFmtId="166" fontId="0" fillId="7" borderId="2" xfId="0" applyNumberFormat="1" applyFill="1" applyBorder="1"/>
    <xf numFmtId="2" fontId="0" fillId="7" borderId="2" xfId="0" applyNumberFormat="1" applyFill="1" applyBorder="1"/>
    <xf numFmtId="0" fontId="10" fillId="8" borderId="0" xfId="0" applyFont="1" applyFill="1" applyAlignment="1">
      <alignment vertical="center"/>
    </xf>
    <xf numFmtId="0" fontId="0" fillId="8" borderId="0" xfId="0" applyFill="1"/>
    <xf numFmtId="0" fontId="24" fillId="8" borderId="0" xfId="0" applyFont="1" applyFill="1"/>
    <xf numFmtId="0" fontId="8" fillId="8" borderId="0" xfId="0" applyFont="1" applyFill="1" applyAlignment="1">
      <alignment horizontal="left"/>
    </xf>
    <xf numFmtId="0" fontId="7" fillId="9" borderId="3" xfId="0" applyFont="1" applyFill="1" applyBorder="1" applyAlignment="1">
      <alignment horizontal="left"/>
    </xf>
    <xf numFmtId="0" fontId="7" fillId="9" borderId="5" xfId="0" applyFont="1" applyFill="1" applyBorder="1" applyAlignment="1">
      <alignment horizontal="left"/>
    </xf>
    <xf numFmtId="0" fontId="36" fillId="8" borderId="0" xfId="0" applyFont="1" applyFill="1" applyAlignment="1">
      <alignment vertical="center"/>
    </xf>
    <xf numFmtId="0" fontId="12" fillId="7" borderId="0" xfId="0" applyFont="1" applyFill="1"/>
    <xf numFmtId="0" fontId="33" fillId="10" borderId="2" xfId="0" applyFont="1" applyFill="1" applyBorder="1" applyAlignment="1">
      <alignment horizontal="center" vertical="center"/>
    </xf>
    <xf numFmtId="0" fontId="37" fillId="6" borderId="3" xfId="0" applyFont="1" applyFill="1" applyBorder="1" applyAlignment="1">
      <alignment horizontal="center" vertical="center"/>
    </xf>
    <xf numFmtId="0" fontId="37" fillId="6" borderId="4" xfId="0" applyFont="1" applyFill="1" applyBorder="1" applyAlignment="1">
      <alignment horizontal="center" vertical="center"/>
    </xf>
    <xf numFmtId="0" fontId="37" fillId="6" borderId="5" xfId="0" applyFont="1" applyFill="1" applyBorder="1" applyAlignment="1">
      <alignment horizontal="center" vertical="center"/>
    </xf>
    <xf numFmtId="0" fontId="29" fillId="0" borderId="2" xfId="3" applyNumberFormat="1" applyFont="1" applyBorder="1" applyAlignment="1">
      <alignment horizontal="center" vertical="center"/>
    </xf>
    <xf numFmtId="37" fontId="30" fillId="0" borderId="7" xfId="3" applyNumberFormat="1" applyFont="1" applyBorder="1" applyAlignment="1">
      <alignment horizontal="center" vertical="center"/>
    </xf>
    <xf numFmtId="37" fontId="30" fillId="0" borderId="10" xfId="3" applyNumberFormat="1" applyFont="1" applyBorder="1" applyAlignment="1">
      <alignment horizontal="center" vertical="center"/>
    </xf>
    <xf numFmtId="1" fontId="30" fillId="0" borderId="2" xfId="3" applyNumberFormat="1" applyFont="1" applyBorder="1" applyAlignment="1">
      <alignment horizontal="center" vertical="center"/>
    </xf>
    <xf numFmtId="1" fontId="30" fillId="0" borderId="9" xfId="3" applyNumberFormat="1" applyFont="1" applyBorder="1" applyAlignment="1">
      <alignment horizontal="center" vertical="center"/>
    </xf>
    <xf numFmtId="37" fontId="29" fillId="0" borderId="2" xfId="3" applyNumberFormat="1" applyFont="1" applyBorder="1" applyAlignment="1">
      <alignment horizontal="center" vertical="center"/>
    </xf>
    <xf numFmtId="0" fontId="24" fillId="3" borderId="2" xfId="0" applyFont="1" applyFill="1" applyBorder="1" applyAlignment="1">
      <alignment horizontal="center" vertical="center"/>
    </xf>
    <xf numFmtId="0" fontId="24" fillId="3" borderId="2" xfId="0" applyFont="1" applyFill="1" applyBorder="1" applyAlignment="1">
      <alignment horizontal="center"/>
    </xf>
    <xf numFmtId="0" fontId="7" fillId="11" borderId="2" xfId="1" applyNumberFormat="1" applyFont="1" applyFill="1" applyBorder="1" applyAlignment="1">
      <alignment horizontal="center" vertical="center"/>
    </xf>
    <xf numFmtId="0" fontId="42" fillId="7" borderId="0" xfId="0" applyFont="1" applyFill="1" applyAlignment="1">
      <alignment vertical="center"/>
    </xf>
    <xf numFmtId="0" fontId="0" fillId="4" borderId="7" xfId="0" applyFill="1" applyBorder="1" applyAlignment="1">
      <alignment horizontal="center"/>
    </xf>
    <xf numFmtId="0" fontId="44" fillId="0" borderId="2" xfId="0" applyFont="1" applyBorder="1" applyAlignment="1">
      <alignment horizontal="center" vertical="center"/>
    </xf>
    <xf numFmtId="37" fontId="44" fillId="0" borderId="2" xfId="3" applyNumberFormat="1" applyFont="1" applyBorder="1" applyAlignment="1">
      <alignment horizontal="center" vertical="center"/>
    </xf>
    <xf numFmtId="1" fontId="44" fillId="0" borderId="2" xfId="3" applyNumberFormat="1" applyFont="1" applyBorder="1" applyAlignment="1">
      <alignment horizontal="center" vertical="center"/>
    </xf>
    <xf numFmtId="37" fontId="44" fillId="0" borderId="7" xfId="3" applyNumberFormat="1" applyFont="1" applyBorder="1" applyAlignment="1">
      <alignment horizontal="center" vertical="center"/>
    </xf>
    <xf numFmtId="0" fontId="45" fillId="7" borderId="0" xfId="0" applyFont="1" applyFill="1"/>
    <xf numFmtId="0" fontId="44" fillId="12" borderId="6" xfId="0" applyFont="1" applyFill="1" applyBorder="1" applyAlignment="1">
      <alignment horizontal="left" vertical="center"/>
    </xf>
    <xf numFmtId="0" fontId="7" fillId="12" borderId="2" xfId="1" applyNumberFormat="1" applyFont="1" applyFill="1" applyBorder="1" applyAlignment="1">
      <alignment horizontal="center" vertical="center"/>
    </xf>
    <xf numFmtId="0" fontId="0" fillId="0" borderId="6" xfId="0" applyBorder="1" applyAlignment="1">
      <alignment horizontal="left"/>
    </xf>
    <xf numFmtId="0" fontId="0" fillId="0" borderId="2" xfId="0" applyBorder="1" applyAlignment="1">
      <alignment horizontal="center"/>
    </xf>
    <xf numFmtId="0" fontId="0" fillId="0" borderId="7" xfId="0" applyBorder="1" applyAlignment="1">
      <alignment horizontal="center"/>
    </xf>
    <xf numFmtId="0" fontId="0" fillId="0" borderId="8" xfId="0" applyBorder="1" applyAlignment="1">
      <alignment horizontal="left"/>
    </xf>
    <xf numFmtId="0" fontId="0" fillId="0" borderId="9" xfId="0" applyBorder="1" applyAlignment="1">
      <alignment horizontal="center"/>
    </xf>
    <xf numFmtId="0" fontId="0" fillId="0" borderId="10" xfId="0" applyBorder="1" applyAlignment="1">
      <alignment horizontal="center"/>
    </xf>
    <xf numFmtId="37" fontId="29" fillId="0" borderId="9" xfId="3" applyNumberFormat="1" applyFont="1" applyBorder="1" applyAlignment="1">
      <alignment horizontal="center" vertical="center"/>
    </xf>
    <xf numFmtId="0" fontId="29" fillId="0" borderId="2" xfId="0" applyFont="1" applyBorder="1" applyAlignment="1">
      <alignment horizontal="right" vertical="center"/>
    </xf>
    <xf numFmtId="0" fontId="34" fillId="0" borderId="0" xfId="0" applyFont="1" applyAlignment="1">
      <alignment horizontal="center" vertical="center"/>
    </xf>
    <xf numFmtId="0" fontId="41" fillId="7" borderId="0" xfId="0" applyFont="1" applyFill="1" applyAlignment="1">
      <alignment horizontal="center"/>
    </xf>
    <xf numFmtId="0" fontId="42" fillId="7" borderId="0" xfId="0" applyFont="1" applyFill="1" applyAlignment="1">
      <alignment horizontal="center" vertical="center"/>
    </xf>
    <xf numFmtId="0" fontId="11" fillId="0" borderId="0" xfId="0" applyFont="1" applyAlignment="1">
      <alignment horizontal="center" vertical="center"/>
    </xf>
    <xf numFmtId="0" fontId="9" fillId="0" borderId="0" xfId="0" applyFont="1" applyAlignment="1">
      <alignment horizontal="center" vertical="center"/>
    </xf>
    <xf numFmtId="0" fontId="15" fillId="0" borderId="0" xfId="0" applyFont="1" applyAlignment="1">
      <alignment horizontal="center" vertical="center"/>
    </xf>
    <xf numFmtId="0" fontId="12" fillId="0" borderId="0" xfId="0" applyFont="1" applyAlignment="1">
      <alignment horizontal="center" vertical="center"/>
    </xf>
  </cellXfs>
  <cellStyles count="4">
    <cellStyle name="Comma" xfId="3" builtinId="3"/>
    <cellStyle name="Currency" xfId="1" builtinId="4"/>
    <cellStyle name="Hyperlink" xfId="2" builtinId="8"/>
    <cellStyle name="Normal" xfId="0" builtinId="0"/>
  </cellStyles>
  <dxfs count="114">
    <dxf>
      <font>
        <b val="0"/>
        <i val="0"/>
        <strike val="0"/>
        <condense val="0"/>
        <extend val="0"/>
        <outline val="0"/>
        <shadow val="0"/>
        <u val="none"/>
        <vertAlign val="baseline"/>
        <sz val="12"/>
        <color theme="1"/>
        <name val="Aptos Narrow"/>
        <family val="2"/>
        <scheme val="minor"/>
      </font>
      <numFmt numFmtId="0" formatCode="General"/>
    </dxf>
    <dxf>
      <numFmt numFmtId="0" formatCode="Genera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6" formatCode="&quot;$&quot;#,##0"/>
    </dxf>
    <dxf>
      <font>
        <b val="0"/>
        <i val="0"/>
        <strike val="0"/>
        <condense val="0"/>
        <extend val="0"/>
        <outline val="0"/>
        <shadow val="0"/>
        <u val="none"/>
        <vertAlign val="baseline"/>
        <sz val="12"/>
        <color theme="1"/>
        <name val="Aptos Narrow"/>
        <family val="2"/>
        <scheme val="minor"/>
      </font>
      <numFmt numFmtId="166" formatCode="&quot;$&quot;#,##0"/>
    </dxf>
    <dxf>
      <font>
        <b val="0"/>
        <i val="0"/>
        <strike val="0"/>
        <condense val="0"/>
        <extend val="0"/>
        <outline val="0"/>
        <shadow val="0"/>
        <u val="none"/>
        <vertAlign val="baseline"/>
        <sz val="12"/>
        <color theme="1"/>
        <name val="Aptos Narrow"/>
        <family val="2"/>
        <scheme val="minor"/>
      </font>
      <numFmt numFmtId="166" formatCode="&quot;$&quot;#,##0"/>
    </dxf>
    <dxf>
      <font>
        <b val="0"/>
        <i val="0"/>
        <strike val="0"/>
        <condense val="0"/>
        <extend val="0"/>
        <outline val="0"/>
        <shadow val="0"/>
        <u val="none"/>
        <vertAlign val="baseline"/>
        <sz val="12"/>
        <color theme="1"/>
        <name val="Aptos Narrow"/>
        <family val="2"/>
        <scheme val="minor"/>
      </font>
      <numFmt numFmtId="166" formatCode="&quot;$&quot;#,##0"/>
    </dxf>
    <dxf>
      <font>
        <b val="0"/>
        <i val="0"/>
        <strike val="0"/>
        <condense val="0"/>
        <extend val="0"/>
        <outline val="0"/>
        <shadow val="0"/>
        <u val="none"/>
        <vertAlign val="baseline"/>
        <sz val="12"/>
        <color theme="1"/>
        <name val="Aptos Narrow"/>
        <family val="2"/>
        <scheme val="minor"/>
      </font>
      <numFmt numFmtId="166" formatCode="&quot;$&quot;#,##0"/>
    </dxf>
    <dxf>
      <numFmt numFmtId="166" formatCode="&quot;$&quot;#,##0"/>
    </dxf>
    <dxf>
      <font>
        <b/>
        <i val="0"/>
        <strike val="0"/>
        <condense val="0"/>
        <extend val="0"/>
        <outline val="0"/>
        <shadow val="0"/>
        <u val="none"/>
        <vertAlign val="baseline"/>
        <sz val="14"/>
        <color theme="1"/>
        <name val="Aptos Narrow"/>
        <scheme val="minor"/>
      </font>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border diagonalUp="0" diagonalDown="0" outline="0">
        <left style="medium">
          <color rgb="FFCFCFCF"/>
        </left>
        <right style="medium">
          <color rgb="FFCFCFCF"/>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border diagonalUp="0" diagonalDown="0" outline="0">
        <left/>
        <right style="medium">
          <color rgb="FFCFCFCF"/>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border diagonalUp="0" diagonalDown="0" outline="0">
        <left style="medium">
          <color rgb="FFCFCFCF"/>
        </left>
        <right style="medium">
          <color rgb="FFCFCFCF"/>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border diagonalUp="0" diagonalDown="0" outline="0">
        <left style="medium">
          <color rgb="FFCFCFCF"/>
        </left>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border diagonalUp="0" diagonalDown="0" outline="0">
        <left style="medium">
          <color rgb="FFCFCFCF"/>
        </left>
        <right style="medium">
          <color rgb="FFCFCFCF"/>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border diagonalUp="0" diagonalDown="0" outline="0">
        <left style="medium">
          <color rgb="FFCFCFCF"/>
        </left>
        <right style="medium">
          <color rgb="FFCFCFCF"/>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border diagonalUp="0" diagonalDown="0" outline="0">
        <left/>
        <right style="medium">
          <color rgb="FFCFCFCF"/>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center" vertical="center" textRotation="0" wrapText="0" indent="0" justifyLastLine="0" shrinkToFit="0" readingOrder="0"/>
      <border diagonalUp="0" diagonalDown="0" outline="0">
        <left style="medium">
          <color rgb="FFCFCFCF"/>
        </left>
        <right/>
        <top style="medium">
          <color rgb="FFCFCFCF"/>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left" vertical="bottom" textRotation="0" wrapText="0" indent="0" justifyLastLine="0" shrinkToFit="0" readingOrder="0"/>
      <border diagonalUp="0" diagonalDown="0" outline="0">
        <left/>
        <right style="medium">
          <color rgb="FFCFCFCF"/>
        </right>
        <top style="medium">
          <color rgb="FFCFCFCF"/>
        </top>
        <bottom style="medium">
          <color rgb="FFCFCFCF"/>
        </bottom>
      </border>
    </dxf>
    <dxf>
      <border outline="0">
        <top style="medium">
          <color rgb="FFCFCFCF"/>
        </top>
      </border>
    </dxf>
    <dxf>
      <border outline="0">
        <top style="medium">
          <color rgb="FFD6D6D6"/>
        </top>
        <bottom style="medium">
          <color rgb="FFCFCFCF"/>
        </bottom>
      </border>
    </dxf>
    <dxf>
      <font>
        <b val="0"/>
        <i val="0"/>
        <strike val="0"/>
        <condense val="0"/>
        <extend val="0"/>
        <outline val="0"/>
        <shadow val="0"/>
        <u val="none"/>
        <vertAlign val="baseline"/>
        <sz val="11"/>
        <color auto="1"/>
        <name val="Arial"/>
        <family val="2"/>
        <scheme val="none"/>
      </font>
      <fill>
        <patternFill patternType="solid">
          <fgColor indexed="64"/>
          <bgColor rgb="FFFFFFFF"/>
        </patternFill>
      </fill>
      <alignment horizontal="right" vertical="bottom" textRotation="0" wrapText="0" indent="0" justifyLastLine="0" shrinkToFit="0" readingOrder="0"/>
    </dxf>
    <dxf>
      <border outline="0">
        <bottom style="medium">
          <color rgb="FFD6D6D6"/>
        </bottom>
      </border>
    </dxf>
    <dxf>
      <font>
        <b/>
        <i val="0"/>
        <strike val="0"/>
        <condense val="0"/>
        <extend val="0"/>
        <outline val="0"/>
        <shadow val="0"/>
        <u val="none"/>
        <vertAlign val="baseline"/>
        <sz val="14"/>
        <color theme="0"/>
        <name val="Arial"/>
        <family val="2"/>
        <scheme val="none"/>
      </font>
      <alignment horizontal="center" vertical="bottom" textRotation="0" wrapText="0" indent="0" justifyLastLine="0" shrinkToFit="0" readingOrder="0"/>
    </dxf>
    <dxf>
      <numFmt numFmtId="164" formatCode="_(* #,##0_);_(* \(#,##0\);_(* &quot;-&quot;??_);_(@_)"/>
    </dxf>
    <dxf>
      <numFmt numFmtId="164" formatCode="_(* #,##0_);_(* \(#,##0\);_(* &quot;-&quot;??_);_(@_)"/>
    </dxf>
    <dxf>
      <numFmt numFmtId="164" formatCode="_(* #,##0_);_(* \(#,##0\);_(* &quot;-&quot;??_);_(@_)"/>
    </dxf>
    <dxf>
      <numFmt numFmtId="164" formatCode="_(* #,##0_);_(* \(#,##0\);_(* &quot;-&quot;??_);_(@_)"/>
    </dxf>
    <dxf>
      <font>
        <sz val="16"/>
      </font>
    </dxf>
    <dxf>
      <font>
        <sz val="16"/>
      </font>
    </dxf>
    <dxf>
      <font>
        <b val="0"/>
        <i val="0"/>
        <strike val="0"/>
        <condense val="0"/>
        <extend val="0"/>
        <outline val="0"/>
        <shadow val="0"/>
        <u val="none"/>
        <vertAlign val="baseline"/>
        <sz val="11"/>
        <color theme="1"/>
        <name val="Aptos Narrow"/>
        <family val="2"/>
        <scheme val="minor"/>
      </font>
      <fill>
        <patternFill patternType="solid">
          <fgColor indexed="65"/>
          <bgColor theme="9" tint="0.59999389629810485"/>
        </patternFill>
      </fill>
    </dxf>
    <dxf>
      <font>
        <b val="0"/>
        <i val="0"/>
        <strike val="0"/>
        <condense val="0"/>
        <extend val="0"/>
        <outline val="0"/>
        <shadow val="0"/>
        <u val="none"/>
        <vertAlign val="baseline"/>
        <sz val="11"/>
        <color theme="1"/>
        <name val="Aptos Narrow"/>
        <family val="2"/>
        <scheme val="minor"/>
      </font>
      <fill>
        <patternFill patternType="solid">
          <fgColor indexed="65"/>
          <bgColor theme="9" tint="0.59999389629810485"/>
        </patternFill>
      </fill>
    </dxf>
    <dxf>
      <alignment horizontal="center"/>
    </dxf>
    <dxf>
      <alignment horizontal="center"/>
    </dxf>
    <dxf>
      <fill>
        <patternFill>
          <bgColor theme="8" tint="0.79998168889431442"/>
        </patternFill>
      </fill>
    </dxf>
    <dxf>
      <fill>
        <patternFill>
          <bgColor theme="8" tint="0.79998168889431442"/>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font>
    </dxf>
    <dxf>
      <font>
        <sz val="14"/>
      </font>
    </dxf>
    <dxf>
      <font>
        <sz val="16"/>
      </font>
    </dxf>
    <dxf>
      <font>
        <sz val="16"/>
      </font>
    </dxf>
    <dxf>
      <font>
        <b val="0"/>
        <i val="0"/>
        <strike val="0"/>
        <condense val="0"/>
        <extend val="0"/>
        <outline val="0"/>
        <shadow val="0"/>
        <u val="none"/>
        <vertAlign val="baseline"/>
        <sz val="11"/>
        <color theme="1"/>
        <name val="Aptos Narrow"/>
        <family val="2"/>
        <scheme val="minor"/>
      </font>
      <fill>
        <patternFill patternType="solid">
          <fgColor indexed="65"/>
          <bgColor theme="9" tint="0.59999389629810485"/>
        </patternFill>
      </fill>
    </dxf>
    <dxf>
      <font>
        <b val="0"/>
        <i val="0"/>
        <strike val="0"/>
        <condense val="0"/>
        <extend val="0"/>
        <outline val="0"/>
        <shadow val="0"/>
        <u val="none"/>
        <vertAlign val="baseline"/>
        <sz val="11"/>
        <color theme="1"/>
        <name val="Aptos Narrow"/>
        <family val="2"/>
        <scheme val="minor"/>
      </font>
      <fill>
        <patternFill patternType="solid">
          <fgColor indexed="65"/>
          <bgColor theme="9" tint="0.59999389629810485"/>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font>
    </dxf>
    <dxf>
      <font>
        <sz val="14"/>
      </font>
    </dxf>
    <dxf>
      <alignment horizontal="center"/>
    </dxf>
    <dxf>
      <alignment horizontal="center"/>
    </dxf>
    <dxf>
      <alignment vertical="center"/>
    </dxf>
    <dxf>
      <alignment vertical="center"/>
    </dxf>
    <dxf>
      <font>
        <b val="0"/>
        <i val="0"/>
        <strike val="0"/>
        <condense val="0"/>
        <extend val="0"/>
        <outline val="0"/>
        <shadow val="0"/>
        <u val="none"/>
        <vertAlign val="baseline"/>
        <sz val="12"/>
        <color rgb="FF333333"/>
        <name val="Arial"/>
        <family val="2"/>
        <scheme val="none"/>
      </font>
      <numFmt numFmtId="166" formatCode="&quot;$&quot;#,##0"/>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333333"/>
        <name val="Arial"/>
        <family val="2"/>
        <scheme val="none"/>
      </font>
      <numFmt numFmtId="10" formatCode="&quot;$&quot;#,##0_);[Red]\(&quot;$&quot;#,##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333333"/>
        <name val="Arial"/>
        <family val="2"/>
        <scheme val="none"/>
      </font>
      <numFmt numFmtId="165"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333333"/>
        <name val="Arial"/>
        <family val="2"/>
        <scheme val="none"/>
      </font>
      <numFmt numFmtId="10" formatCode="&quot;$&quot;#,##0_);[Red]\(&quot;$&quot;#,##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333333"/>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6"/>
        <color theme="0"/>
        <name val="Arial"/>
        <family val="2"/>
        <scheme val="none"/>
      </font>
      <fill>
        <patternFill patternType="solid">
          <fgColor indexed="64"/>
          <bgColor rgb="FFFFC0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strike val="0"/>
        <outline val="0"/>
        <shadow val="0"/>
        <u val="none"/>
        <vertAlign val="baseline"/>
        <sz val="14"/>
        <color theme="1"/>
        <name val="Aptos Narrow"/>
        <scheme val="minor"/>
      </font>
      <numFmt numFmtId="5" formatCode="#,##0_);\(#,##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strike val="0"/>
        <outline val="0"/>
        <shadow val="0"/>
        <u val="none"/>
        <vertAlign val="baseline"/>
        <sz val="14"/>
        <color theme="1"/>
        <name val="Aptos Narrow"/>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4"/>
        <color theme="1"/>
        <name val="Aptos Narrow"/>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4"/>
        <color theme="1"/>
        <name val="Aptos Narrow"/>
        <scheme val="minor"/>
      </font>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Aptos Narrow"/>
        <scheme val="minor"/>
      </font>
      <numFmt numFmtId="164" formatCode="_(* #,##0_);_(* \(#,##0\);_(* &quot;-&quot;??_);_(@_)"/>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4"/>
        <color theme="1"/>
        <name val="Aptos Narrow"/>
        <scheme val="minor"/>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4"/>
        <color theme="1"/>
        <name val="Aptos Narrow"/>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strike val="0"/>
        <outline val="0"/>
        <shadow val="0"/>
        <u val="none"/>
        <vertAlign val="baseline"/>
        <sz val="14"/>
        <color theme="1"/>
        <name val="Aptos Narrow"/>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b val="0"/>
        <strike val="0"/>
        <outline val="0"/>
        <shadow val="0"/>
        <u val="none"/>
        <vertAlign val="baseline"/>
        <sz val="14"/>
        <color theme="1"/>
        <name val="Aptos Narrow"/>
        <scheme val="minor"/>
      </font>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14"/>
        <color theme="1"/>
        <name val="Aptos Narrow"/>
        <scheme val="minor"/>
      </font>
      <alignment vertical="center" textRotation="0" wrapText="0" indent="0" justifyLastLine="0" shrinkToFit="0" readingOrder="0"/>
    </dxf>
    <dxf>
      <border>
        <bottom style="thin">
          <color indexed="64"/>
        </bottom>
      </border>
    </dxf>
    <dxf>
      <font>
        <b/>
        <i val="0"/>
        <strike val="0"/>
        <condense val="0"/>
        <extend val="0"/>
        <outline val="0"/>
        <shadow val="0"/>
        <u val="none"/>
        <vertAlign val="baseline"/>
        <sz val="16"/>
        <color theme="1"/>
        <name val="Aptos Narrow"/>
        <scheme val="minor"/>
      </font>
      <fill>
        <patternFill patternType="solid">
          <fgColor indexed="64"/>
          <bgColor theme="1" tint="0.49998474074526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2"/>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2"/>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val="0"/>
        <strike val="0"/>
        <outline val="0"/>
        <shadow val="0"/>
        <u val="none"/>
        <vertAlign val="baseline"/>
        <sz val="12"/>
        <color theme="1"/>
        <name val="Aptos Narrow"/>
        <family val="2"/>
        <scheme val="minor"/>
      </font>
      <fill>
        <patternFill patternType="none">
          <fgColor indexed="64"/>
          <bgColor indexed="65"/>
        </patternFill>
      </fill>
      <alignment horizontal="left"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Aptos Narrow"/>
        <family val="2"/>
        <scheme val="minor"/>
      </font>
      <fill>
        <patternFill patternType="none">
          <fgColor indexed="64"/>
          <bgColor indexed="65"/>
        </patternFill>
      </fill>
      <alignment horizontal="center" textRotation="0" wrapText="0" indent="0" justifyLastLine="0" shrinkToFit="0" readingOrder="0"/>
    </dxf>
    <dxf>
      <border>
        <bottom style="thin">
          <color indexed="64"/>
        </bottom>
      </border>
    </dxf>
    <dxf>
      <font>
        <strike val="0"/>
        <outline val="0"/>
        <shadow val="0"/>
        <u val="none"/>
        <vertAlign val="baseline"/>
        <sz val="14"/>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ertAlign val="baseline"/>
        <sz val="14"/>
        <color theme="10"/>
        <name val="Aptos Narrow"/>
        <family val="2"/>
        <scheme val="minor"/>
      </font>
      <fill>
        <patternFill patternType="solid">
          <fgColor indexed="64"/>
          <bgColor theme="0"/>
        </patternFill>
      </fill>
      <border diagonalUp="0" diagonalDown="0" outline="0">
        <left style="thin">
          <color indexed="64"/>
        </left>
        <right/>
        <top style="thin">
          <color indexed="64"/>
        </top>
        <bottom style="thin">
          <color indexed="64"/>
        </bottom>
      </border>
    </dxf>
    <dxf>
      <fill>
        <patternFill patternType="solid">
          <fgColor indexed="64"/>
          <bgColor theme="0"/>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4"/>
        <color theme="1"/>
        <name val="Aptos Narrow"/>
        <family val="2"/>
        <scheme val="minor"/>
      </font>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CEE28F"/>
      <color rgb="FFF2E288"/>
      <color rgb="FFFFC81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16 Dashboard.xlsm]Income Comparision!PivotTable11</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1 Earner Median Income 2012 - 2023</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'Income Comparision'!$G$5</c:f>
              <c:strCache>
                <c:ptCount val="1"/>
                <c:pt idx="0">
                  <c:v>2012 Income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'Income Comparision'!$F$6</c:f>
              <c:strCache>
                <c:ptCount val="1"/>
                <c:pt idx="0">
                  <c:v>Maryland</c:v>
                </c:pt>
              </c:strCache>
            </c:strRef>
          </c:cat>
          <c:val>
            <c:numRef>
              <c:f>'Income Comparision'!$G$6</c:f>
              <c:numCache>
                <c:formatCode>"$"#,##0</c:formatCode>
                <c:ptCount val="1"/>
                <c:pt idx="0">
                  <c:v>78711</c:v>
                </c:pt>
              </c:numCache>
            </c:numRef>
          </c:val>
          <c:extLst>
            <c:ext xmlns:c16="http://schemas.microsoft.com/office/drawing/2014/chart" uri="{C3380CC4-5D6E-409C-BE32-E72D297353CC}">
              <c16:uniqueId val="{00000000-1877-4C6C-9A64-627473688BE0}"/>
            </c:ext>
          </c:extLst>
        </c:ser>
        <c:ser>
          <c:idx val="1"/>
          <c:order val="1"/>
          <c:tx>
            <c:strRef>
              <c:f>'Income Comparision'!$H$5</c:f>
              <c:strCache>
                <c:ptCount val="1"/>
                <c:pt idx="0">
                  <c:v>2018 Income</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'Income Comparision'!$F$6</c:f>
              <c:strCache>
                <c:ptCount val="1"/>
                <c:pt idx="0">
                  <c:v>Maryland</c:v>
                </c:pt>
              </c:strCache>
            </c:strRef>
          </c:cat>
          <c:val>
            <c:numRef>
              <c:f>'Income Comparision'!$H$6</c:f>
              <c:numCache>
                <c:formatCode>"$"#,##0</c:formatCode>
                <c:ptCount val="1"/>
                <c:pt idx="0">
                  <c:v>86223</c:v>
                </c:pt>
              </c:numCache>
            </c:numRef>
          </c:val>
          <c:extLst>
            <c:ext xmlns:c16="http://schemas.microsoft.com/office/drawing/2014/chart" uri="{C3380CC4-5D6E-409C-BE32-E72D297353CC}">
              <c16:uniqueId val="{00000001-1877-4C6C-9A64-627473688BE0}"/>
            </c:ext>
          </c:extLst>
        </c:ser>
        <c:ser>
          <c:idx val="2"/>
          <c:order val="2"/>
          <c:tx>
            <c:strRef>
              <c:f>'Income Comparision'!$I$5</c:f>
              <c:strCache>
                <c:ptCount val="1"/>
                <c:pt idx="0">
                  <c:v>2023 Income</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'Income Comparision'!$F$6</c:f>
              <c:strCache>
                <c:ptCount val="1"/>
                <c:pt idx="0">
                  <c:v>Maryland</c:v>
                </c:pt>
              </c:strCache>
            </c:strRef>
          </c:cat>
          <c:val>
            <c:numRef>
              <c:f>'Income Comparision'!$I$6</c:f>
              <c:numCache>
                <c:formatCode>"$"#,##0</c:formatCode>
                <c:ptCount val="1"/>
                <c:pt idx="0">
                  <c:v>80002</c:v>
                </c:pt>
              </c:numCache>
            </c:numRef>
          </c:val>
          <c:extLst>
            <c:ext xmlns:c16="http://schemas.microsoft.com/office/drawing/2014/chart" uri="{C3380CC4-5D6E-409C-BE32-E72D297353CC}">
              <c16:uniqueId val="{00000002-1877-4C6C-9A64-627473688BE0}"/>
            </c:ext>
          </c:extLst>
        </c:ser>
        <c:dLbls>
          <c:dLblPos val="inEnd"/>
          <c:showLegendKey val="0"/>
          <c:showVal val="1"/>
          <c:showCatName val="0"/>
          <c:showSerName val="0"/>
          <c:showPercent val="0"/>
          <c:showBubbleSize val="0"/>
        </c:dLbls>
        <c:gapWidth val="75"/>
        <c:overlap val="-25"/>
        <c:axId val="807835695"/>
        <c:axId val="697283775"/>
      </c:barChart>
      <c:catAx>
        <c:axId val="80783569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200" b="0" i="0" u="none" strike="noStrike" kern="1200" cap="all" baseline="0">
                <a:solidFill>
                  <a:schemeClr val="dk1">
                    <a:lumMod val="75000"/>
                    <a:lumOff val="25000"/>
                  </a:schemeClr>
                </a:solidFill>
                <a:latin typeface="+mn-lt"/>
                <a:ea typeface="+mn-ea"/>
                <a:cs typeface="+mn-cs"/>
              </a:defRPr>
            </a:pPr>
            <a:endParaRPr lang="en-US"/>
          </a:p>
        </c:txPr>
        <c:crossAx val="697283775"/>
        <c:crosses val="autoZero"/>
        <c:auto val="1"/>
        <c:lblAlgn val="ctr"/>
        <c:lblOffset val="100"/>
        <c:noMultiLvlLbl val="0"/>
      </c:catAx>
      <c:valAx>
        <c:axId val="697283775"/>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80783569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16 Dashboard.xlsm]Unemployment Comparision!Unemp_Rate</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800"/>
              <a:t>Unemployment Rate 2020 - 2023</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2"/>
        <c:spPr>
          <a:solidFill>
            <a:schemeClr val="accent1">
              <a:lumMod val="75000"/>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4"/>
        <c:spPr>
          <a:solidFill>
            <a:srgbClr val="FFC000">
              <a:alpha val="85000"/>
            </a:srgb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5"/>
        <c:spPr>
          <a:solidFill>
            <a:schemeClr val="accent3">
              <a:lumMod val="60000"/>
              <a:lumOff val="40000"/>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'Unemployment Comparision'!$G$5</c:f>
              <c:strCache>
                <c:ptCount val="1"/>
                <c:pt idx="0">
                  <c:v>2020 Rate</c:v>
                </c:pt>
              </c:strCache>
            </c:strRef>
          </c:tx>
          <c:spPr>
            <a:solidFill>
              <a:schemeClr val="accent1">
                <a:lumMod val="75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'Unemployment Comparision'!$F$6:$F$8</c:f>
              <c:strCache>
                <c:ptCount val="3"/>
                <c:pt idx="0">
                  <c:v>Connecticut</c:v>
                </c:pt>
                <c:pt idx="1">
                  <c:v>Delaware</c:v>
                </c:pt>
                <c:pt idx="2">
                  <c:v>Illinois</c:v>
                </c:pt>
              </c:strCache>
            </c:strRef>
          </c:cat>
          <c:val>
            <c:numRef>
              <c:f>'Unemployment Comparision'!$G$6:$G$8</c:f>
              <c:numCache>
                <c:formatCode>0.00</c:formatCode>
                <c:ptCount val="3"/>
                <c:pt idx="0">
                  <c:v>8</c:v>
                </c:pt>
                <c:pt idx="1">
                  <c:v>7.5</c:v>
                </c:pt>
                <c:pt idx="2">
                  <c:v>9.3000000000000007</c:v>
                </c:pt>
              </c:numCache>
            </c:numRef>
          </c:val>
          <c:extLst>
            <c:ext xmlns:c16="http://schemas.microsoft.com/office/drawing/2014/chart" uri="{C3380CC4-5D6E-409C-BE32-E72D297353CC}">
              <c16:uniqueId val="{00000000-F8BC-2247-A661-43252ABC675B}"/>
            </c:ext>
          </c:extLst>
        </c:ser>
        <c:ser>
          <c:idx val="1"/>
          <c:order val="1"/>
          <c:tx>
            <c:strRef>
              <c:f>'Unemployment Comparision'!$H$5</c:f>
              <c:strCache>
                <c:ptCount val="1"/>
                <c:pt idx="0">
                  <c:v>2021 Rate</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'Unemployment Comparision'!$F$6:$F$8</c:f>
              <c:strCache>
                <c:ptCount val="3"/>
                <c:pt idx="0">
                  <c:v>Connecticut</c:v>
                </c:pt>
                <c:pt idx="1">
                  <c:v>Delaware</c:v>
                </c:pt>
                <c:pt idx="2">
                  <c:v>Illinois</c:v>
                </c:pt>
              </c:strCache>
            </c:strRef>
          </c:cat>
          <c:val>
            <c:numRef>
              <c:f>'Unemployment Comparision'!$H$6:$H$8</c:f>
              <c:numCache>
                <c:formatCode>0.00</c:formatCode>
                <c:ptCount val="3"/>
                <c:pt idx="0">
                  <c:v>6.4</c:v>
                </c:pt>
                <c:pt idx="1">
                  <c:v>5.5</c:v>
                </c:pt>
                <c:pt idx="2">
                  <c:v>6.1</c:v>
                </c:pt>
              </c:numCache>
            </c:numRef>
          </c:val>
          <c:extLst>
            <c:ext xmlns:c16="http://schemas.microsoft.com/office/drawing/2014/chart" uri="{C3380CC4-5D6E-409C-BE32-E72D297353CC}">
              <c16:uniqueId val="{00000001-F8BC-2247-A661-43252ABC675B}"/>
            </c:ext>
          </c:extLst>
        </c:ser>
        <c:ser>
          <c:idx val="2"/>
          <c:order val="2"/>
          <c:tx>
            <c:strRef>
              <c:f>'Unemployment Comparision'!$I$5</c:f>
              <c:strCache>
                <c:ptCount val="1"/>
                <c:pt idx="0">
                  <c:v>2022 Rate</c:v>
                </c:pt>
              </c:strCache>
            </c:strRef>
          </c:tx>
          <c:spPr>
            <a:solidFill>
              <a:srgbClr val="FFC000">
                <a:alpha val="85000"/>
              </a:srgb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'Unemployment Comparision'!$F$6:$F$8</c:f>
              <c:strCache>
                <c:ptCount val="3"/>
                <c:pt idx="0">
                  <c:v>Connecticut</c:v>
                </c:pt>
                <c:pt idx="1">
                  <c:v>Delaware</c:v>
                </c:pt>
                <c:pt idx="2">
                  <c:v>Illinois</c:v>
                </c:pt>
              </c:strCache>
            </c:strRef>
          </c:cat>
          <c:val>
            <c:numRef>
              <c:f>'Unemployment Comparision'!$I$6:$I$8</c:f>
              <c:numCache>
                <c:formatCode>0.00</c:formatCode>
                <c:ptCount val="3"/>
                <c:pt idx="0">
                  <c:v>4.0999999999999996</c:v>
                </c:pt>
                <c:pt idx="1">
                  <c:v>4.3</c:v>
                </c:pt>
                <c:pt idx="2">
                  <c:v>4.5999999999999996</c:v>
                </c:pt>
              </c:numCache>
            </c:numRef>
          </c:val>
          <c:extLst>
            <c:ext xmlns:c16="http://schemas.microsoft.com/office/drawing/2014/chart" uri="{C3380CC4-5D6E-409C-BE32-E72D297353CC}">
              <c16:uniqueId val="{00000002-F8BC-2247-A661-43252ABC675B}"/>
            </c:ext>
          </c:extLst>
        </c:ser>
        <c:ser>
          <c:idx val="3"/>
          <c:order val="3"/>
          <c:tx>
            <c:strRef>
              <c:f>'Unemployment Comparision'!$J$5</c:f>
              <c:strCache>
                <c:ptCount val="1"/>
                <c:pt idx="0">
                  <c:v>2023 Rate</c:v>
                </c:pt>
              </c:strCache>
            </c:strRef>
          </c:tx>
          <c:spPr>
            <a:solidFill>
              <a:schemeClr val="accent3">
                <a:lumMod val="60000"/>
                <a:lumOff val="4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'Unemployment Comparision'!$F$6:$F$8</c:f>
              <c:strCache>
                <c:ptCount val="3"/>
                <c:pt idx="0">
                  <c:v>Connecticut</c:v>
                </c:pt>
                <c:pt idx="1">
                  <c:v>Delaware</c:v>
                </c:pt>
                <c:pt idx="2">
                  <c:v>Illinois</c:v>
                </c:pt>
              </c:strCache>
            </c:strRef>
          </c:cat>
          <c:val>
            <c:numRef>
              <c:f>'Unemployment Comparision'!$J$6:$J$8</c:f>
              <c:numCache>
                <c:formatCode>0.00</c:formatCode>
                <c:ptCount val="3"/>
                <c:pt idx="0">
                  <c:v>3.8</c:v>
                </c:pt>
                <c:pt idx="1">
                  <c:v>4</c:v>
                </c:pt>
                <c:pt idx="2">
                  <c:v>4.5</c:v>
                </c:pt>
              </c:numCache>
            </c:numRef>
          </c:val>
          <c:extLst>
            <c:ext xmlns:c16="http://schemas.microsoft.com/office/drawing/2014/chart" uri="{C3380CC4-5D6E-409C-BE32-E72D297353CC}">
              <c16:uniqueId val="{00000003-F8BC-2247-A661-43252ABC675B}"/>
            </c:ext>
          </c:extLst>
        </c:ser>
        <c:dLbls>
          <c:dLblPos val="inEnd"/>
          <c:showLegendKey val="0"/>
          <c:showVal val="1"/>
          <c:showCatName val="0"/>
          <c:showSerName val="0"/>
          <c:showPercent val="0"/>
          <c:showBubbleSize val="0"/>
        </c:dLbls>
        <c:gapWidth val="65"/>
        <c:axId val="1413390176"/>
        <c:axId val="1413391888"/>
      </c:barChart>
      <c:catAx>
        <c:axId val="141339017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050" b="0" i="0" u="none" strike="noStrike" kern="1200" cap="all" baseline="0">
                <a:solidFill>
                  <a:schemeClr val="dk1">
                    <a:lumMod val="75000"/>
                    <a:lumOff val="25000"/>
                  </a:schemeClr>
                </a:solidFill>
                <a:latin typeface="+mn-lt"/>
                <a:ea typeface="+mn-ea"/>
                <a:cs typeface="+mn-cs"/>
              </a:defRPr>
            </a:pPr>
            <a:endParaRPr lang="en-US"/>
          </a:p>
        </c:txPr>
        <c:crossAx val="1413391888"/>
        <c:crosses val="autoZero"/>
        <c:auto val="1"/>
        <c:lblAlgn val="ctr"/>
        <c:lblOffset val="100"/>
        <c:noMultiLvlLbl val="0"/>
      </c:catAx>
      <c:valAx>
        <c:axId val="1413391888"/>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800"/>
                  <a:t>Unemployment Rate (%)</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41339017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1">
      <cx:tx>
        <cx:txData>
          <cx:v>Cost of Living Rank Map</cx:v>
        </cx:txData>
      </cx:tx>
      <cx:txPr>
        <a:bodyPr spcFirstLastPara="1" vertOverflow="ellipsis" horzOverflow="overflow" wrap="square" lIns="0" tIns="0" rIns="0" bIns="0" anchor="ctr" anchorCtr="1"/>
        <a:lstStyle/>
        <a:p>
          <a:pPr algn="ctr" rtl="0">
            <a:defRPr sz="2400" b="1"/>
          </a:pPr>
          <a:r>
            <a:rPr lang="en-US" sz="2400" b="1" i="0" u="none" strike="noStrike" baseline="0">
              <a:solidFill>
                <a:sysClr val="windowText" lastClr="000000">
                  <a:lumMod val="65000"/>
                  <a:lumOff val="35000"/>
                </a:sysClr>
              </a:solidFill>
              <a:latin typeface="Aptos Narrow" panose="02110004020202020204"/>
            </a:rPr>
            <a:t>Cost of Living Rank Map</a:t>
          </a:r>
        </a:p>
      </cx:txPr>
    </cx:title>
    <cx:plotArea>
      <cx:plotAreaRegion>
        <cx:series layoutId="regionMap" uniqueId="{E1ADCF63-256B-A942-9FDE-700FE8FF0E72}">
          <cx:tx>
            <cx:txData>
              <cx:f>_xlchart.v5.6</cx:f>
              <cx:v>Rank</cx:v>
            </cx:txData>
          </cx:tx>
          <cx:dataLabels>
            <cx:visibility seriesName="0" categoryName="0" value="1"/>
          </cx:dataLabels>
          <cx:dataId val="0"/>
          <cx:layoutPr>
            <cx:geography cultureLanguage="en-US" cultureRegion="US" attribution="Powered by Bing">
              <cx:geoCache provider="{E9337A44-BEBE-4D9F-B70C-5C5E7DAFC167}">
                <cx:binary>1H1rU9vItvZfSeXzK6Zbfd+1Z1eNJBuDgQAhF/JF5QEite5S69b69Wc5QAIaT8Kczam37JkKBXJb
S/30uj1rdfvfN+O/brK7TfNmzLPC/Otm/P1t3LbVv377zdzEd/nGHOT6pilN+bU9uCnz38qvX/XN
3W+3zWbQRfSbizD97SbeNO3d+PY//4ZPi+7Kk/Jm0+qyuOjuGnt5Z7qsNT+5tvPSm81trotAm7bR
Ny3+/e0nW8Ifordv7opWt/bKVne/v332prdvfpt/1F9u+yYDydruFsZS90ApxV2OGfyEl3z7JiuL
6OGyg5E4YAxTyhC6f8Pjvc82OYx/gUDfxNnc3jZ3xsADffv5ZOAz6eHv12/f3JRd0W4nLYL5+/3t
h0K3d7dv3reb9s68faNN6d+/wS+3j/Dh/bdn/u35tP/n37M/wCzM/vIEmfmU/erSX4D5qJtIF3rz
ODv/PTIEJh67CklF0bcXeY6MkAdcCSEpde+vs8d73yPzEol2Q/Nj5Aybj3/sJTYf2k38ODevgIs6
IC4REqEHjRHPccEYH3AhXdfl/PGu94j8So7daNyPmiHx4WovkfikzU1ZGF08Tsx/DwelB5woxQh/
sE/qORxSHQjiKsYU+a5G98bzwYC9RKTdyDx5mhk8n472Ep6ru3EDBva1fAvBB5QTSSXG91OPn0Oj
QJMIYCOEe+9awPc8heaX4uyG5WHYDJKrz3sJyam+iXW0eV2FkYIKJST+PutPPb5koDBICaUers+s
2Esk2g3Mj5EzbE73U10+3jV5WbSPi/ZVbBkSzIX/5r7ePeAQoykuwdRtX3Nf/2tJdkPy/RFmiHzc
D//y80DxqR179s5/GCMTdcAQYQIxUIWnqgIGDGFJKH4SCjw1YLPA9e/l2Q3ObPizR9iPqPjsbnhz
ejfqm/L1lITQA+piIjDl3x36U1Aw4gcYgaIgCf7mKRwvk2Y3Fk/HznTl7HQvPcv7smvjN/6mKTNd
vGbeQg4UIgowevD6M1sm0cE2pYGgYLd/eblcu5Gaj5+h9d7fS7ROyk4bvXlVoNCBkoCRnHsbhQEh
DBmMfAip6XM9epEsu8F5MnSGy8l+5pbnd0VhbNZvXjX3p1sd4QKcy24dEuJAEikhcn5AaBY5v1Sq
3SA9Hz3D6Xw/cXrX3EXla0bRYOWI5JITfh+RzdJO7CLgzcDIkZkT+rUgu0F5HDeD493lXpqzd2m2
icv8Nd0OO2AQilEOROW3F8z707BAAZ0GUQFCAjKbb6/nRu0lEv0NMt+fZY7Nej+xifUrhmtgyihm
jFAldoZr0j0AI0aYdB/CAVCkp0Hbu19I8zeYfBs1x2O1l3iclQ0EasEmLdtX1BcqDkBZCMRhDynl
3IAhAI4r4v4NLi+Vajc+z0fPcDoL9hKnyxjKEW+OTLYpbh/X8CtwAsAmuxIITPlgtsDVP7VrAkOZ
QErE6QMdDeH2U/15qVS7cXo+eobT5X7SNttU7rps0sd5egWMoIhGlEuBzNxp4wQDDKFewDG9B3FG
qb1Eot34/Bg5w+bsei916OgWwoJXBIYeEKmQcOlurhNjqB5AZUAg6j7e9b4s8EtBduPxMGwGxtF+
GrSzu35z+4ouB3g0wjilCj+UYmYhGsYc0GAEijX3aQ9cf2rKfi3PblAex81QOfu4lypydvdnszHp
K+JCwYW4Aig18cCogS48dTFAc0Ieui3SQNFz+5qxzy+R6O+QeXyWOTaLvcTm051p3/won98v3v/e
vxAo9VOXQcXmoVA2KzkDpcYBPqA8f9AFTxXnxWLtRmk2fAbVp/1Uo1Oo3LwqnQYBNSKEYSV292tg
pABFaOngZManvUCU3cB8HziD5PRqL7XnCrg06BG6u3s0+6+gOexAUlAaBBHyt9fMtEl+QChxGUXq
+/WnmvMikXaD82ToDJ6rs72E51QbU3aNfkV05AHhgkkEFbRd6Cj3gApBOLADO+Pml0i0G5wfI2fY
nL7bW2wAHl1VrwkPUDMukkI+ZJZKPY8LoLWGM0hsqPuQ9szSmu0kv0Cov0fo++A5SO/3EqRPGxND
82b7qjw00DhAMkNs8EBrzkKDex6a0+86NoupXybTboiejp0h9OmPvURom04f3zXmzr6ekQMCFCg2
BB1qu42cgBQUVAx6iB8Inll08DKZdiP0dOwMobPjvUTosRf6Tfn1jV9mXf7nq/bcSqhdU4iztyHa
0xQICm4Ic1dBO9s9SjOQ/qlYu+Ha/Skz4IL9LGCf6m1w97oU9jZ4U5iSx7wUbNtT0BQ9wApKPsBh
P6rzPbnzIll2Q/Rk6AyX0/2M6vxNpr+WzauWr6F1HUJqzqGD8D6umwEDnR+QsArgHB55uef4vEym
3QA9HTtDyN9Pp3S6aezr1hSAT1DA+BA2C+gEh1occAzQvXNv5Wa1hJdIshuVHyNnmJwGe+mGjorb
V27GUQfbflsBgcLD67ktg0TVlRjKPOqhvj1zQC8QaDcy3wfOgDnaT3N2X1j8P+hqg/YCAoUChWcM
glAHGDqoJOcP5OksCXq5QLvxmY+fwXS2n9HAH026Kcyrbjag0DIFgQD5m41sWy6BKOhEALrh22tG
Yr9Eot0I/Rg5w+aPy720bWsgwLqb9BVToO1WNnA3LuWz4jXsNXAlNLFBJ8LOsPolouwG5cfIGSjr
670E5XSji1fkRSmD0JkDHQ0xwLfXjDbg6sDFUK5G4iESmLmbX4qzG5WHYTNITvez2PNHo6fyVRty
6QHEXtB2+9gmMAPl287CbZ8HsG7fTBiE1U/J6hcItBuW7wNnwPzxZS915b4D/NUbpmDfAQGVYI8N
hHN0oGHKJQgSUj5TlpfKsxuc56NnCL3fz/DZL4EMuGn1Tdc+LuH/vtazLWMLhhkU4XZmnQLobCJB
u9yZ63+hNLvheTZ4ho5/tZf6s9oMG61fD5hv2T7UERCB2PgpQQPR2DYw2G5gv6+ZzgzarwXZjcnj
uBkcq6O9hGP92pGyPKCSQjsHBF6PbuQpKgqqchK2HsCWt++xwVM382t5dqPyOG6Gyno/iznLrGz0
a3ZHufKAbTufXKKeawl0SFMpCHW33evb14yVeYEkuwH5PnCGyPJkL/UkuMvAcDWvGCVDwxpsjxLc
fdSEGTLQ1wkpDacEP1QFZo7lJRLthubHyBk2wX7GyqcbYzY3cWfu2ta8nmeB02uARiawnX13RyE0
R3MEe3eJhGDtqQ17sTy74ZkNn2F0up8887ZYuNrkFRSpX1OJKDngElqfYY/Hd/P11N1sG9ih8xBO
utndgvNisXZDNRs+g+psP7eEQOWzbDa3r9gpvS0JKMkYNHPcowSh2FOUYIv7AYPKKDTjPNekl4iy
G5kfI2eg+PvZg3N4V8IZUJvH6fnvExoCpz5QSFjk4/kos4xTEtjCQ8H6oQdKcwbNCwTajcz3gTNg
DvfTsB2VwyuiAj4HWDHOBN3d56kIbDREiOOHnAbNCgK/kmY3JPejZngc7Scef2SbPzevuvcTMnsg
M104Amqni4HimaQQBbjooX8a4rin0cALBNqNyveBM2D+2M8IGh7nVTcWcGjAgJMDtxWZe1xmtTPM
3ANXbFs01Mx0/VqSvwXk2xPM8djPnbhHGRzNUerXDJihGQ02Q1Fw9Pe5/bwgA9VMCpva2feez+ea
8hKJdiPzY+QMm6P/T7ry94dBfj8vM9i0m8W3gzafnAf586vfHh5O/5wNfTA3O2OCe0t0dPv7W8K5
BO74+wGe2w95ZqienDj3l1F3G9P+/tbZ2jrEXVA6l0Hrrtq6nwG2pcAlKIFKue1iUxROZRNQRXj7
pthuLoZjQKG/TUKBDjrfoF8eeq5BDGj2/nYJ6IftDjkFW7egG1iBhI8PeV5mFk5V+D4jD7+/Kbr8
vNRFa35/C7eo7t+1fUAKeTJwtATBXkn4NAynJ8D1m80ltMXCm/H/czGK047FfK2islk1OR7PGS6a
1WRtOvltYxi48u8T9MIbiq1ngF3oSAJ///yGKTx15VY5WxPmygD3gz6cVDee80zWq8gaDH0QP7sf
pPx/eUAID74dzAFHdLjo+f1UwiejgPNcizLmm0TBDUiS4CvDen3481uBrs5vBVAD1gzqQdsi6vNb
NfEQR12K6TrNB7bRImlWrJ105XE3wmftNKmPIk3wWROyEUrV//ApYSVBWz7sq4AdL3gG41CnvUVO
Q9fGTehRISvseg4rZJD3UZH7P78Zxn99UFiBWLmQRsKZG1sdebpoxjIzuRg1XQ8lhxuJqkG9NyQo
037fiiTyCpJU8XE+jkb6tol785niMouDMdOOj9xCgQ36Z48PBTho+YDd84IDf71F5skqTnAcdlkU
0rUcKDyuymt9iJwU/vnf3QtjUBoMSxgWzmxBRQlBWWwtXRMz4LOOOuZWtPl42SVudf3zx9rO43Pl
5HCSsQTvAGedScTAXT99LN1WjcPLjq77MP5qXKMWnZs7v0DzrwoCN+HbUwXgJ1ipGZioT6ho3Yyu
p9SU60T2ceVJXjk+nlJHez9/IrydnfkjEWg03O66gimUM6RkSHA/OZisE1eneUB6uCcOHcO9rDHV
taxTtqHcgpJqNV7auCVHUR+So1+I8dcVzBEFs4e2qgr7JWZihC52w5CndD3K1j0maYEdrw6VPKkc
Ayu0Vnm+SFO34Z6dOouDb8rLKqMPwYI0q59LswsByBuhyW+LNBQBnsOcZoqPeVqB8vbheAmR2+AN
RVeuadUooB//qaJwaJpmeNtUDScbPr/VWMmmbERN1prB9CoVgco62QimXnJA4uc3e+5bwHxDRgab
vRWciAy3+8vyreK2zOq6co5Di5LJc5ymui5IVl1PgxzP+8KCdfj5HfEWtx/La3tLoES2hS04mxEA
3nrUpxpTpRNkJVioYxQ2+pDKwsk805jxkg/OeKlNCLgSNo3nsUzcKx2BSuVjW66FU1RDIDWvV1MN
7u+bBWlpWhlYAK6evDB2JhxoXP5qkuBg3Ocyg+MXYE1hIcIxbQROlZzBX8gxoWNO6LHJUL5EUzwt
S82dZYRN2nklyu0Y+VmWNGXol0ll+QLqePyiaZwsX9gkAxnDPAQgQxa1txPJ29vRTWHpqngCvXJr
BywvahLcewwPaeThSNFNHcvxMuN1s0IJDGsQJ0fCwrjAJC45Gtykvm57Ua5lRMlxk8AEejZN7Hmk
M6dZcDhH9mM7xU7ixyqs8QobBh9tRNwMQa5invpZo0PiRZ0m/DArariHhJnmJrbndQ0Mikd76sZe
pyt8ZuISVkhFcXVtS9FOh044KX48VKRcmzbKm8A2uIiP0yxub9Mkq69FVbjVcY61vYRTu8Zzx22d
3puqNNJfsFUAmZgIT1NvkEP4sc5KWHttyjepdmG108RlG4uVuTW42nrovmeb3KbuTTWF7qqvRX3Z
8DY/ZIOofaEj2ntgf3vmDYqBh8EW4yuH1KCko5QnNEwdn4wUZjTU4UdLXX0YEmJuG9PKwCldfNVO
LsyPGkJxaUw0fXR7Zm4rRQGnnA/qIx4bc5vmket6nLRqMZkQE1/aRn3sKgvvckJLjlRYwKfkicVX
UwvzRjtk6nuPWoCnXlaGZ8Szedwkq4iObeZZIWBl05hT6+WFncRxvA1MnESM51GdqxOUuONlWlo+
LjLkODxgRYbPal3DqkkJYhvBU5hNmyRV6/eltIXfo1Dw42prL51e1ObQ0L7ODt3RBWFgb1SaL5oW
/CIvY9C/EkU2WuSTxGexk2cAJctb6YelrIdAWAr+pk3DMPNwQWAt94mjPhoUwsfKtpPB6JDxvMIS
fFHbinRc2gz8stcWzCV+RaLpdBLZFPlY52zTlzXb8LhTrmeKRmUBs7h5H5HJXU3TEInAjTj9UvR9
cSUnbU+zus+C2owl9hInw3KJNWqOdVb2R1Fm4TYmG0d/KKayC5AJ+VWWTXrwEJdF6gmW2DMJZOA6
p3FZeXmqlK+ZIf7IHOrbYrJXqUJs0ZVxVR2nyGqIjHgaexMyxUVbGVl4SdjldyVr2q+STuURlOe7
M2g46grfjkk4+l0KlsmfMjBcA6oamATHVp95ljZmaZjlN+MkcGDaojgpDWqiJYLiy+CprtIBTsri
sC+78kwlPR78YjLxl4g4zBNlW51aHvPDurDhGttW1IfSDPy60nm7tEU1feHRUB4TmkfWGwc6fSmy
Ol0w5k6+wT3AKEPW+2k6FF+SKhFtUPSxCVLUiMNtMGo8MdbGDZomdxY1xIBeD8HLMpduuzVMoVeU
KLzsUuMcFWldHSVNbJaWdfYujMphETvaubCqzD/rtKd+ZovWqwqdeklttCfSZiNaCvqhJycI3Tz2
u77By7wq4YOkc0bHGIH5J2FZemlDYhxwkZGy9dNaQR++18AWsKjcIl8NJxDpypVLsGVBofvBo2EI
N6KZCgPaRfGRLCvjw7dJxMFUWmfh5mX3oUp5Xfl9YZYdS61fxOgmE6b8rDLtelrhcWmckARdBnKo
sM0vwCtNKQA/xSec1oNXRQgQFZGbnJRCFeeo7arzzLSwqB0OEdnGhi0+c9wEVMIYyBgWZdW6yZqP
IQTYLhnb2gdr295GDQKDVE4KX1k0wZJFba8+NqIbo4XsRoYWqY7HwmvLGvVeLsJs8l3mlNchpuN5
NtaOL2zWrFqjwB/LjoXay1xarssm234aHitzmOoWTBBYYwjMqhKs7Qh5lDEJhHC8n/BVX1FQ/S5m
9YqONBlXDKfVdVXBsvVL0ZfGS7Miu3bLOoJ4Lu4GD5PSLUHnY1PlX1gSy+qrrXrqmV604SITrVkU
CR3ucjnUkc9Sh31SPFRHTazMKittFHvFGOnOy3AS/2n6dpNUjCwY1VHkhxbMx+dscjrnvZ6qkqyk
G8uzvkm0zzOdLuJhqFeJw6ellUX1YVJRLjw4SWD40LMmv+RR9dXNps8jcDfv0tZtV2BXRea7qukW
tKvc26iNo9tJ6+F91AlADjQ+WdR9GimPRmKYvD7WqfXqzIhjzuArNIJxyKrcNxzsuJ92JhpWrRrR
mtalPa1NSy75NGrHa/K0wx4HFBIfgh310Sn6sViMuM1Ox6ah7yY9Ze9qTLvLXMvab0psbmjvZIuy
ncifpeL9uuXV5HosdDX3jCTaT+Mm9oZuGpSX1xmYCxWyIMklPbZD/2dYOcP7oY3SC9x16LTREfuS
DjyN/CaLFfjKAmuvtiQ6U9Tq02Zk5NhRg+Je3Edm4+qhWudwGsai0KxbY46c0KOtyZtDDCZv6UAw
2wcjdt3Q0zQU4zLOCnLF06pa9QWZ3lc6Dk+Q7aaLNkalp/pouIZvb6m7BTKG6uNRjyPzZYkc7slw
kOkZH9FQHSqob68gy3VOEjGVH5BuXOU7aZcXnusIlK46WDxnA3j4r7ivzWlXVf3hCI5wXSQmz4JK
xaHxSgzpRQzG7TClIdZ+BZGF40e96C8itx+IVyQhq2BdZs11OrbEg91B7GTULphRgqxq/brqiyFw
86YL/awo3dNW2Il5VtVYLmQmKBhEPNyVLu/CpXLqaRlVET2itHYXJOPTynRCX5oc1x86bM1HmVm6
6Mcp9adk1F4qOPUoimPsjVMiAlINQvs4nOJblLfgh1pkez90ep0FFKbqvJ8gTymySTQ+K0P9zkVi
/ICawTlluiWRp0lNltIhjfCKqmDL2gg2+KWrlTnsYO1+DbN4/FRJ0t4MLBS3A2+5XqKKd8Y3GWaZ
n5SZaLxQkvLr1E61Dpp4st1KtNVXFo/RuUlyAl4OvkfnmAxjXHplWdRBPOraelQ0jZ+Cd37nZEOy
cBEP20BFELNHkx1HD8WliD3W0Vau0w5Zz6Gi/xxzW3a+iKbkHRKhQF5YFdm7QmVZ6xXu6FzEDgHU
MiCQ6CqvhmzsPo5xPYb0PoN9YB/P75OJewbtpoTASkfxw/cEff/1P1dlDv9/+/qaH3/cfs3Qj9/g
bP377yf66bugsLfdAWnmb9pK8/2zQJgH6bb847Nf/kKGPjKBM7rz/uuO/ubiS7lQIBufZGN/5UJ3
nbVzz6J+G/nAh8LOXaD/ID8jW7IBDvuAD33gQ6GxijMXCE1oToBWdyDSfvChcKIOgdN0ttvqIX3l
AhLXBz4UNjOAfwb+R0ACBWeLcPWP+FD5PBtnEBRwgYFzEQJOIwMpZylkZOmQFQm4feC4unUpCwYm
wK3MmticBhltwZmpZMoviXB8m0eZh/SogwzhYQV2FtxAGHZi2bSqeQ/nPTueIpn6qGWbHcbKiTyi
OwXOdWT1suN5m/pjGrMjE4K6LrukCycfgscBsjfJMubRlPGgVzYNWJWPqzqkx4VMux6sUNR4US6j
D7gAc+6B3wp9xZPPahg+YpOFHOIYYz9MbQ/pzpDZpe4dFLQ06S4gsMPHcCyCjr2xMMOiDZ2s9ycn
rC+ZrfUJDMFV0CDRH1alc6HDKjGgvcmwaiDlOZ0GW3ijIejT1DT9GggxexVWlixtY+JzVxlee2ra
PnlWpAbiJa4hc06yJZw90hdePNj8fRQztoQopvITA5cFqvFaYf2hTEvmRbLtTyW1S9lnre/UqAyi
vuwhvdS0fZ9CtHkelphchEDxjF7JG4qXpe3giTPpTIHqQuVJ0dOFW/XgS22dBSBzGhDTUp+WKt/6
B+GFI/nUpWm1wjo+EdS6h7iL30Vy6tvAtYhmgehj16dsoF6RRRM9aZ2mDyGz4C1QZFMLeXe7UkPR
fqAG8iOv0hNeOL3bgM+0JPcaUzDAg3Unk3RXbYKuNeSdQQfPskjD9mNYWHSshuaDTS31lUXFl2ZI
7DGOK+HlVsYBxJaLCLcsyJIoujS0IEUASXl2KpO8PsuKOIepzvJYeFVe8ndRZ/h5SpwwcGLRX4dN
6F7YukwWLOLjiZ2qO4gvIZ6HPJAvwlpH59OQmONRZR5k+MQnkEmfZDwNIariYdAVTniBSfs5MmXh
M8i+jmLehNF6aFHWX4xQM6g3TRSZL2iou68akowLnldsnUQ1eZ9ymgTgnrsTZkzN/bbPYcqGKm9O
Oxd9GUbanTmVCwH1gO6Atv0ihqE0fs6K+ghISYjsNEHvbCawCfLGymsZxd0VxHSln/RhtuB1mHX+
lHddvkK0Y8ky5GWRgQsehi9xNJUowBbYhYVxIM730qTB3gQoLxjwtQtdmB5d9OWU+SmK0Um1TQz8
Edvwoq/c84HhaygcXKOm8xoEsU0jUF6tFNcVREQirpvD3sCKQZHLP7FQXkVhdYfcLrReIrJq0cAJ
ICuW9b18F2e08goltZ/E3F1FYHMu4RMiTxATn5laryVXw9GIixyiEU5jSPoiM7inEJBP0aEMxyby
O+DOcu1U3WXTWgEimWXidOF53xWl19QpZHM96QPT83HZIXVoKYmP0nTq6wt3cmW+6kKcKwjvbbKG
rD5JF9qAB/VGVLJTw0i4EKSMj+I8xIu6agePC8cJcMXlJ9rklnnttC6QcFYR5EGHqcwiL+Sus2Sh
7T2F7LAsaKK9aMzSzxAf2iBP6mEttVjSos29KrS486ShKaRjCbuAs6jTRcXT3uNDnPuyT6mf1Hl9
nKRkCsquqw57aqCcgPPodOjZADOQTNNVnSF2xFrZnI6odT4OURB32bpDaRTkmakyT0elXABlkC+T
as3t+NkNRx6UjXGPximcFgzetc4YKk9xRmrtMeqMjVeXtYsC1jEijlLeS7BUTX1BVEOuJJOxz3kl
g5jhePBtNdnD0AlL4assTa+nRHUeHcWwZhQnHhiIL1kqEwiNu3j0mFDNcltGgdCtPwOawn7t4qmH
q0IsYxbRzBO66g7HEIL4kNeQpsYq9WJe4KB0UXcU5jbzyzJsTnTWfQHHwpdDm/WrYqoH0NKwdCav
rYaB+3mu2xsod5BsAf2Z5oTmoVr2EX4fCS5XxMnRWiNR+U0hk8NMOLkXT83KVBJ5cD6AXBSitD4u
nH7lNgU6QlZgP1RpfMQHOi4gX0Zr3g4I8vZGLk2F3JMOEuf1WAi9GN3sMuST9YWJxOFQQSbpAQH7
tdO2K4GCktTLK7C9AxAHAWy5qo9qhfPJS6K0DtBIzhtc+k45utZnoKKncRXpM41G6acZVCLslKqA
uRof27YOl0NXr8c8rxdoGs0tK5vRjyDkWyRZVp20BCLcqaPxUTOpP6Vq86OINbe1irpFlw5/5jmF
vAL4u0XXgbvBDeT3jYlW3ZCRIA8hScThZWsKckZyt/Bk17OLgep82TjmLLLJJTBuzsUQJ+cjzOtx
ODIXtDE7i0Q+LUeeKnCNkEAhoBQNX7LJNAFNVVR4rO9av6Gj/UBTayEbg3m9rDsd8eMpaW13ag2K
yoULnrPxXD0SoMUQ2ea5dCgtWvBCTmgRh6qa3ucaKefzYNzRBhq+k3AKgHZyfdSnhZi8McVZRhei
xdiuahy9T9NSJMHUTxDKmDSjZ32KG1hWDBPPTZKkhCy/ye9siUfmoW6q37ml68RBlTTTJ1J146e8
ROOxaBO87urCHNbWGYAMhCIgByo07Y8RTwcw/VkBc9DH7crmaFrgHCymTB2+sYlMAojnkuMeqY54
wHLll3Lq9HGOchPADqIF7PIaltaV0W3tds6haQd2bqysl4Os8ZI0bVIAfwnmNa0JTFBqgQmMURR9
pDasApHkrddUwCZ5Cqj0lW4m2gdoYp03lB0ePPBu0+CVtCLrpuryeNG6TYWN59pOSQ88F1oyA77N
kxZKA8CsdNqbgG0+hoSiiIJJmr47QrHt1lmcOkdOXXMI/ELUpR6CQ1HeYebw1ocUvNbLlNVqUUo1
NUFMOh6kUY2uDXAcOBgTlFzIuKkvE5UMEEhyq/0SK3ZodDguG6gvryYcj71Xp2OPPGQbAUxaY9tP
GTSQBKFR+CRPZM6Aoxnt54louuSGHZI27GpPT21nPVlA1lqnOvRNSfpVpJ2h9xxtogUZnfyMWr5l
kBxRZ34OZ10fUU3RpzCMEz+qUBj7UUdkuqwsLXpYLi3yddO2n8F4T1A7MXxdKvwnFUCtW8FQ7gGi
Ye1lQG+OnmrSeDG0XWK9pmOu37Z8qnzK4/xdURuJfWA/u0XL4tOKDdVSDXl7MnSCHXEggIBGg8rV
hcmaLl0YoKEPacGbhQLQjmVn6j7ICmpvx1DGXxTE3B9cy8U6pHHBfW17cWKAVuVBGEGB4zRHjPiu
FZ/bnJhPNgTanEeMLjMHuGIXaLGjxrVT45sk4dekov3gG1k1Kw3neoIvcdVpllh75zph5Le1xhuw
p/pYDw5e2Jryz32fGiByGiDUlk6tYxm0CEiXqM0boE+BzulwCXQUHwqvtCJdpFSrQzXm3YKNfb+e
/oe981qy28ba9hXxKwYwnXLnTuqkluQTluy2GUGCESCv/n+4Zc/IGv92zfn4wNXq6r2ZQGCtNyGc
9cMCCvQ8AGYmZaPNrvQrN2krlX9dOm26xG1bASDdjiBvjuoPnTuPO9kCCXjp2B0s4NujO9vhu0sH
fAc5uT5E3apelIa+3jGfl7+1ozO8xo1df84cu86Aw8v4BvAsvSnC2r6xVdodQ8brrd1lwZO3jnoH
ytxe3NXmAKtvJU4o1GFpQofa3w7Af9MJRG/MK6Zm2Rx1oPxTWVvNxdjU4iqu9SvAoXe07P4wqq78
UGRgT2Up54eSjQdvmSTmPS8gL0s4uxQszHxe1Re73OrUoZJlcFiEI9sdIHKXtHLgXe9FeasKapRa
2ohE4rH+Ja8Cfz2Hda4PRTcFv81jq98DafJop+rY3M+ua7yj7kV7vDa1/+v//1ELhUrmb/v/P2+F
/K3zv37m984fAe7/8dK5pBoTUoiEgh7+985/c1Lb1EKRR3YUCurvGn+foC/bpeUXqHjQJQIX/CGE
sretkkNS3K7biOAj/W8a/z9rLZAi2T5aC7Ku0eMRie1tsMB3EpJ00k7hp51+mOR7NtT7vP75u7vx
O270vdKKm/U9Nf0fB/gBV+iNV0tlOEBUApxGMpnir8X8UMS7XL7//aGuNP53NDgymIgMFKxrLD3+
tlX0ny9mcQan9qHJ7ku/hnuHmrKwSgcLoIJbdf5PQ2my6Je8TaPRPtnKHawVd4C/FM2N7TEVyPe2
a6Mwo6EUuR2Hp7TP7BNQ+fRrAeFVyLupF4Mlbm2Q5ks9xGXav0alvdwGwmrT16Ubjwg8/JuBkuGx
pAMtIBDTrhl3zFVZEnm9PybuHFisgXr24nHv17LLq5cudrO53wWsPSH8TBuxrhfB4g5JM7k3PWTt
x8XUrMJpN4W7dV5qfZQgn568DUe/3PsmYBZ0Kl//ZLV2kFRWJosEkUe/Y6tH4X0QVqjW23KMc+tF
21YhmoM3Z2lsqd1YlaNJTyHE9fBNGva/WeOfZg3kDrxp/5Ko/Adq+GM493Xa+PahPwBDMkmQ96OM
AJu72sX/NW1guAhCmhn2siFGhn0DmBx+F1BiFURMc82xRQyCjBGJ+R+AYUB0ECAigOEf20L/gYz+
Cf5FNfpXr7Xj/fnFRp8FMnCNxeUsmIx+EFBFc9C2LKnOOYIbr3UCR77rkW/u1mbp7grtHUyT/rQ0
4HnJBIbx0Z5UthM20oYCweCD1wYFhdPsHf0wdVKQBj96zJdM3fZBU7+2zdKkCTKxS5eOrykSITR1
U/fV9hTL5r5nI/SPQ281b+4YQJRLDZM+u1b/7qcNOGOexXdiMf7Xxu5g/qDo/a+eCvgjNxBIOILW
+rUyEASV10rz67YPbVjeFIPQDwDxh14Ouygz5S2QgYpOwZw2r9oT2VgmmTWJh2l0HWfv5q31aglf
jcmaN/NBRVSYYddXySCLTuzxDJoHpzf1HpzI+jmoRzmj65gjbkvrumfH6OyuVM4E3R10ecKC0B7S
SGv/6HS2SNKh+lnItbnNNGINP1rF3u9F9bkvh+bgO6nYW8hrd3Xq6TfXLZdnSW+TXcQwFadWSfWY
xqsd0mXn4mKb2foyDnWxnwZjPuY2vG5VlLVIOtCS8I06ijIrDIyFCKNfUSfAw9vdMb2KpcJVjO6H
rvDW7mjR17/2XSS+TkrkaxLUWn0RmYjuSOJzXo32trtcOdyLnJr5Na58200WVzuvWbHByLXyN/GD
V0PM9pRqDwOeCViOcYD09YBn5CHyZ0jYKI/heK2+a6rjVRpG+wZRfP0R/pPnmqoAgrabGv5uySWf
AYSpwjvVGPWFnhIe1h9l+laKqCp2/hREoLwCTUUNUubsM+PHb1FbedOuGVPUKJM1ZkkfgVQyNIXz
6jo+lyEnRLM6bKf1ZMbYu3j56H9VpkarAV2DOKE3w3obN5tyYpFOe4vwFbVNKVYuiCwvvqfbirmx
WmmtrGjhBLTTwVSHWYmCSc6p+lJrKdMkS2fIZX/pvXIfmbAW+yhsA/chnWudHocxtbPLqGaUKVlb
ju80sdauqCBHAWO2r83brq9PdVnCk7dwqANQk8V8nyAK4+uhAfk5WkdkRyhzuIO9Nvxm7ULvIgIp
LgYJAYKiYVRfgmyydsJSXEQKdPkYFXNwdz1iEE70obOFeErXDmOzm13ub6mz9E33FTIXZJDIToR2
5/XU9474ai+b7k1kBi2UDarXuQ6AUOebnk6t9MVTVk7xofK6vL0UXtEPhzSYPG/XuQXfn3k1l7VI
REd5WgefxFgu1tv1LKN6nbIz3GHR7Ejl4mR9FTDKWPqdh7gHi6dJG7wmGQLNc67k3K0vo67a6oi9
kUeKE3G7JyXijYcR7cVtvGkCl77l3/FSZGUSxRmKMqtdi1PVWgyIq04uhDBJk7BESyYk0Mqx6FT9
27r6jMgysLYx5bh1m2S+FclTO80awZ0jzbTLVWV2JqxGvR9jFyJ0DfSzfVUHlov64jHSvJ1NAx8x
ThvpJLGIgXgiWhDlRws4gtXRo7qbMlY2mYfYeAgfEGent2W8xG88zCAHXgid5zJfxjW5ikxHMQ3p
MUT39DIzik+ljuRxpZwCQMn8p6kYh19KywMcqVl03uq4Ni9RYMld6PYMbLfXPRfDDbhDg2hxdbJq
vWRt/WbYjZrmZ+/HDXIIbtm8ng0K/LNGtP1LB3HhHZymjbyDSDXSKHeoxCXLkGx7zXZ/F5OnSDdC
ZpCpa2cOKPUH7fjiIObMzQ7W6OnE7VIHHr8X6uKZwju1dZTnu54V46lxVPNcz23QJHNVg+uEVe5+
jNs1hIXvl19FKL2btB+LczlHznvth+tblE0mPNpMgXddHxS/ep3Rr5PvLxclm6vAENlhYX3sS6t/
y10x7JuuGtukBtE+LY5VJtCv9Z1jGs3vTHO0I7kcmsxefy2WrOIN0PVwGyGkK9F2ofdK5Jp6X9AS
DrcjcrhuRxPhXKa1r+4lJoq9r3UPumxGl7YeWuzOz7qHPgCg8v04F4c16meA66VbbprRRA+1tp4d
ClxzsAG04JajeXDu6iv2vW4wOJjTadyA8fUKkW9gud5g82oD0Ju5ZzYBUm+u6LrTNJ+9TDs0/Vf0
fUa+eKeqxnY/pshf3nRe9y+1Fo+5P3fP6CWzRGeD85zS77w09MVJPZkx+tBt+D89tjrYWW5/zlxt
bgU0wbrxBdPGHMAAtv3J100b836oGjFEb7YXX5+NiuUOlckjSsE2gVHJfbR5kBR6oyvQtoz2E4rJ
Ftw1tA8oQ51kKL3eACuPuTrU2m7sfZ7m+qdUGVnvEIvAjthXpgQyDNbEckR9mCHzdhFA+qvbVNGX
Aks4Aq6NdJk2+kXalrrMgceo1l75k2F5v9X1ND2MG3vTR929GtZlTBxtVLALm3S8G4K13M8idl+W
mO4ABZvzVDnB+NssTP/TcuWLzJU7Kq480tivFUK7qtmprv8MHpM+IXNI99VGQZEcZO7mERVkPVDS
hEF/Mw2e9aHvx+AwXHmsJZS/1qM2d91awLv6i/tUFuP8BSFvus9kHjzGKvY/mAnpX1Jd2TLaUPUQ
Wml1j8TQbeAPbOtJwDruQzHpA7crTGYRmBs1yOanYgK19lv1MZ2UjYKvfxs38i7faLwBPs9xs0sJ
hXZnLb74rHUG6xdWS488Y3AOqZXnt0Mmsg9e1E73U9ifo0mPKDoQweW2MzFrtsqIO52PgisEH3Nz
4dX7TLkTLdFiPaBWgWSCn5Q6as9u7XxK0esnWR1AL7qt2DV6rPaBqWvIGsjOwVXikJsgZqWI03Wf
iS5IQNFgSHEhgdC4rvKe0PQGj1Hcjy9tj8Qt6Zu55XoAZarVHK0Q+pUN2/xETdnHYKNmm95CTrjR
tVmz+EdQdflSlC1sbrkRuy4KoT0kQDkclG2sZBoDv0uWIc8fpem9I4zT8mpvZPGy0caQJExQQdbe
MwPN58KwbcF+lPGTN9pQzs2EkHB0hbr15No95z6QEWpKiOrpylnnG309bUR2UQT2vk+DSzSW0V1b
ZctH+0p9+3J6y6f8c4kyeuezYR8FhZmzj7OKuyQczMiKO3g3wcapGzi8RMQ5rM8U8BzGvoR+l9KO
UcWHUwCetzH085WsVxtvL64UPtqoLOlCWZ+UFtGbirnwWZn+JS3b8DiYLi0PLIf6HJVDse9qeJ0y
s3ZmaORzngbNAOeai/26ZMNtKyDskL6AL5sNs9JX+IrPmPvwCmqFzDfv5YZ0RVfM6wp/5RsSpsKw
O8d9DDp2xck2xKzesLP1CqPVG6JWbNha2cwFBGA03WvsQft0gVtfZlDVasPlqg2hW4FAvY+sb9X9
2NRePu8kkOVjORbebqj89nmSJgue69jyNplC3CfzCO8N4Cx+rtj6IDvGQdPwAtnUglXgVB8yFtls
rs0dSoDhsExVDM45ROnTQBlw79YKprtZvOxzKOem3a9eSY0l4i8Z8OnzmuoNu8jyY1dNCzSy7z90
DdxrEnedtZ9af7rx2nq8NU63nKKmMI+OPw6vuZY3ne5uVbSaPYhC90EO7fBLwGx5mseuv3FmPz31
WfRGoaaPIRzNHPbiqQROqCFqqqo6lgZpx82Qr9o5FvG6wtiIXpXAJE1bJtIN1ufJs9XPppJwoUx5
9YxAVdaJ10B0Nl663lVTb8lfltkMj1a8rB8sCLfikClUcj9Ho3pV09JUcLnFJFL3JC0mtwts5anL
vfC5depPyqtNfos0LUzvvMb+OupY3RufQq6IGAuXShcg72u5VIeoKvPwOXYBgz4Vkp96nfRVkz6i
Xe2OfgHBb9U7X+lPay7anfD6KAsfM1d1j6x+l1Gygurzd538X7TGPxob8DOwBTC7y5HA54hr2Oj3
kFoW62lxM+raEN3iRXt0on6Ru6/rEg7vce/8k//O/1G6g/7HI/wXM2NoC0oFAMbvD1jn88J2xEN7
bmQf3405pfvAxPy1skaZ7912+iWvse09ZHM0eZe+Dzy0mINj5RKgrKyZ+Xix0RU0ov8g+9l5kChE
1U2PeeoNVis+zFVLASjWJqVsk8Hwbme2F9PQi3F9cQMrBaQ3FSQCBPaXUZX+19af9fgywPAMxxVC
Tg+7BoOO+Gmln6h2aWRo2LLU96j1M3qRihnjFTGl+oJkZ3hnyDS/IUhpXrw4o6IfO2aPHfCq+mJL
YcxdRm9kbXOnTYPlINdYrWEajnFJ43BC4tyfF/6w/yBa5QSnPneQ+Q9O1H659sIy6P7Jb/kDjiow
/PjsKRgBQJJWGgogme+fQUWFnAaD3Z79ZTMX+UVJbzA5Ne3a34+u7Yu+wzi/HSjGtRqBfXjuFmX7
/YGing4OOUB7rvOaR6wiFPJj0/F8ePfE16GI6K2z1tCErKyy/2DN+8+jk8eGexaDMKA0Xtw/H11Z
ixNCeLXnvlTua6B1tC+6zYvSIKVujcVRgzGkCbC0pG37+0t3/mxf87l29o9BVRdjrGKj0x+vXZc+
AoS0b8/f3CuzBqe9D6vOfUXZStssnICLn8XS3o4ZlpjE7puJxq/JwnrzhTiv1xP6H7z5T/CmwK/1
3bP7D3jz4/g1/8Oxf4U2v33gX4wIgWZQD9t2wVcxJC/TvxgRyJKAfAy23hTEaAvohD+84QSe0E04
0UaT/IFp4hfnP+w4UHvUia7/33AhV8jyu3cLDDP22KcDDSYxdwgufxjdgP9F3i7Rch83q4UOOdJq
WY5XnxL6Ce9Smc0yOGdglIMvhndnWYqTKcAfl80913d0+O7mEygnJlRZOOYZy6z/KKHcbS9pa1Ok
UZV42p7okKUMaIefrXAxDSaCeI5i8TFPTYx8YJJuCXGr5w0VrFPrQyzFLG/avuyHeAf22Ea/eSpc
iumsmfsNvp1wcor0gs7cKm/iMOrmFwpjW7xYTRu6B5A6VxyyUvfrLfcSRiCqsNnYHDZP4L8DRJVu
1iWZoLd57qWgE9N18YBzMD91obtusFuQvjbSzfFgYS3goto92Iv1M1KmAhpE9N1Oybx8Mq3/MJq+
u6x+kR2hW6avaaF+BfGhFiw20jOwS28Xt9QdyIlw8rjNTZnNhR+iYam0cQ9a23N364arbJxdiVfw
Ic+q2boY3eplX0FvLC/MRdNq7+2sKrNjKhTqihMCknw6zandjt3ZsTOU7TUGpRlZwXNQI5W/VwZR
Hw+BntuV87fJ+X8Twj9MCC6JxEzW/3++4+G6efyP+yFsU8PvH/0360EFg5c9ItnIda/ZEL9PDRGb
KBPVQNqRIwLYh+9ZD6gNIiVQSbA6uXyMF/ePGcIjc4fqKCbPEqaT7a/+mxkC//mPy68joBchXlCI
ODaiiD8vgBjxOtnXQ3kG7WCtYUTn4X4dMjx97tzH5jDOCjMHLEweXFJ3wfDQoE6LdsE6YG5zdVCa
o7difD60fpt1Z6tuHd0neCkkupcc86Qs/Ohu2TB7tYHjLYzmBeyOFX7Z3Km1AnWdCweQXaNAqLEY
GQ24hCsRY0f7paGZ+aLslaJspgNTmKqd6M7h9f/aXIu7WFoNccJZECRT60bq5NbYVw9DtdVxs8cb
v6vKYnl0uxETJnp2N9Fqg0jHAe/sFTK/Tm19iWE2rTbU2lMm7Gl6mqq9wdTXRjdBTLE7kNrwWoMT
Yr7NcZcgKaI2UvAyj0ttNjB2irmMb3ZQ180w5VJVv7JPI/ZLF0tH21rT2Ztz7+PVO914FHZ00qC7
gcSJlW0m30SFoM5lQIjNrusKqsUwLofhpOJ1eC/7DT1uRIvrecCC7aWbG8x4PX9GPdDewpjgiM34
XDJlnIB/tQrrGqe27WXua5mi2dxN4KkQHbExz/AvHDOqKFXr0uba49oHyJ607YFaFPK2ycP8waus
8i6aUyfpdWHuy7SYL14bV5emCPlMeIXkv3napKHc3jOuucPfHihFI37krICQcKftCSMWgeKy12H4
jB9kMXd6E5buTeWWck/nXxVPlnS5hHYp+RY1YyNEdYppc+fXE/dFl9amvgSwTBO9CMvfhVaYFadu
lP58VpXM7U99MAjvWMvVapMZNwzZElsFNTfxG2zz87gOPgofDLXwTZh9V3conxCbxyK5mumUIynD
BAPQ5AREtL5koFeIndPjojK+CYMx/w/zlHPLN94FmR+GdAzWGBvHmdHg9rSr+AZG4OJ4oTeIhEOB
V4chZIbKsLNnlos9N51dXr1Qq/EdjlRnB3vzBOe624y1mMvmpEXeCX10he2rUjVApmUMQVFhnJGH
mSEaJA6v5V2rKLXPYYkXyipnuKUFzM8cCzR6K+sGuQSenVHJN5rAyiR1puHdGMEhKRDgAeZtnCwx
XNO0PaLII7dB+jRBkQNSh4DKLk5sgRQjTW1Ajec5ZiF21Bc66vTtOoQLK+T+bhEU7fayl9sgTYPZ
PMNVcEu0my2PJuNVkKuL6zovocKuDKbnxty4sVVwJKqOGDBTaLe3dRPw6+srMdWqOAUF2lGoMRjB
jrLnUjhF9wXPRX/ucFbke7Af5xWlZfpmlfZsJQo4rMVtmkmM7Jgmk6BdIARdQO869xHU6UJyOXYh
LsVgeKCdvfBX+NoZYJbHSz5U1OWHdGPPZnfkqq/uTMp6jPbwgYC5dXy3dlulPhYL30CLRgdYW1Ef
7aZwyD2UEzPkkdUPC/NptsZ7u1bhOfB7+2jXJe10Z6y9p3OrT0y7pXV4aMX1cR2WKT/EvBSgqL3k
hFaPGUu6rc6fFzyv91eOqcDrcfLwXD0jUBUXLM1QntKp+Z4rA1ZVc7QvR6YM206d19FXE3eQtvMZ
HQt/5OZV96UCRj3HzpCd0pHePvQY80G1cXRRjnz0ZSCBSJzNxBTprVywqTY3OdlIPKjatZzX1F7p
sbM2xOLqAaCQG5OW5GzYkEyT2Mz6s+Yp1UW6NXUuU7OTLoyplM5sThZsGJggB1pAW2O+3ZkGlrEj
s+O19JetROollJe0W8aLM9DDtxsjqmPUuRjvaX+LjZqV0uF8Sqmy9DDH28gJHUymN6Ls+Xo3S4d3
CJ/iVOQ+o3sjMtE94LItfKe8FWrqzxP9YHe8jnnhCj6EoZezdPFAezzNgKiYAl8uWGTIddrbMjJD
fY5Pc+dDIdrFwPx2jQuoc28bj/FGE6puc4B6Kw/y25RWDvjc9yrULEbYDvrpUkZDR3jJLHR/UI7l
PIqAt6uuq7ikcuX2AiIdr2+cnCPxhlvFODvT+X1+vM6sbQsocNJ51L05hdc0iOqzpfrka495ohbb
LHVNaRIb1xvXOj6UUyefnHxyUQY0701ucOUqtS0GHbuZJUuaMQPH9eo86NXfaG7qhwn/JqlEicnz
xsk/uEu+nJl+PKn3TjZRQtCqNy36UIzMt7IZIFLcMDVA00MR109rWf9a2kUdRhixreyNpbQ/N6Mv
eUTNFi5STYa5lncSzS1TTJtY2vXLnQel9d428q3NnP4mTs1EuMoSaTQUgde/EsB1aeNtIRo2qQV8
lbpljYkenSa0U95dRBl95+F+dZzxgWBj0igIGtrNm4yjCDsUHYgzfupG92DhbUaAiuyjH0O0RiXv
QDJ9g9VGELYhn9RtWMa9TB/tDYKL4/FT001HWGWkBGSEPCJCTUqwu/SK4i0B0nfWiVYG6YU+RzKr
IqPatpEBJrUnd69sJfdu4K4NuvvRR+DaiXKnWleeHadDOF4IFe0sUQHAN+4cYzVYj/Zk9A1a5Kra
WaHGvOE2Kl+OS0ALco4Zlv0uGyYfogAnwu3oifVDZMbwZkCw/BQWpgOut9B5SO18FM7c3lt20Hwo
1iq6Cd002teOoCjJo/aQRYRAJbYyblJWWOl6BM33oQdilgyWb77Woi0/wuB8FCVS5DtEBOKpq/IG
lnPQMORrH2MA8+bfhqWPf84x0CWDJthhZZAdOj8s9lG/AM5bZXymSZr3i8HXIyNl8p0QZZVM3lDe
R31eLvfcr+C9HKPmuE7EgSx1YR+yQn+M41IdqyLsT2Gqf0JbswFW4c9ZZxZ4h6XZO3XnHr0K7tId
/f4JiX5O+dMghDXS/FJO7itJGshz9DDcR0W+Psl18ZG2ThJHmiVOaYwuWcUFLWc3vHbxBF/aB1RG
h0FipRvXdOviJPWJhrnLqBtuJtk7Ny6SnrMft8Oliidx13qrveOmNUCQnf9ikBwlpuuigxWTKlAy
YyWMkOpRdOU+pOqkaXc+sAhg9RJzc8wiK7jUvbc8ZS0uL1xkZ9ca+hMuMmpWfPd7k8XT2Ud7jMdu
sb4Mqen2JflD9ytunamQ7p6ECfsZ8w48C8zBR8I+rLtFqrpLrCjkc8Djwc/jXMfUJa673ow08yfY
uPZzSfm+aUfQ6TG+3erV7dPoHGrPerCDzt6x8ob7KhJHhODLsWwredFAi1+tSn42VleREhDWcjf3
RF5YKEE2RwlGlAWx+8lOq3znRxUscl2g0/drFiIsvZe58d9VnuEBHEm+cJRdb7OVc1nK3vua9rbq
9mk7mM9UxAeq655KsLCb/VLZ1WHsRPCadswozPw9XrEWA7xVuOHZHox3knm97Ad3wayC6EPf5ZMV
Oonyps0KNARRz70bfft51lXtHDK/7hdq8W415XOROmZKnFKK+hyuw5y9M/kDDZRuh8cA0yU27gaS
LU/XPmkzLz2NQW4xMfVFgJVi0m9WNbgRy17qBkkxOfm+V8AUZd4dIEhbtgDnvSi8Ub9h3aova7Dk
CHiW6rhi1D5Muc0/y7A4Bm5tf9SZiRjinmyFdVOQYDC7TKSyiH+JYy+7Ix7mAUZ5+GTl8XQr++g+
qCCDWbzSF4kOBmsjlokEiCcdb6quW4pPQ6Am+yKrIB5vrM5Z3enMrBUfvdibOhw6zmZFyGjc0g/p
GGuq2U1hZPyijb6kHaEm57QsAZuYvhcbV6vv9Kt3CtHarP6OkDLLTrLBsrGDYbGZvC9RjiL86OI3
CMgCibzsGOrUl7ed3fP7qqXk2tvXuJmZcID+4E/UoIQhUG01GsE8Lh3B2rQJVpYb21kNlD7yLGpR
vBGI8B+x7FKffdfx/wUv8h/Y8bZpEUHSNNBuSBv9A3I9Idwp1FiU57SNyVGRbeuZT6tYJ2LylhVh
mZAx1Ujb+HUVJBqW55saFdP4X2sWtz0S/4ydb5A57mZni8viLH6QLOo8cNrVHbOzb+IIrUUzZMjh
Yid1HxxryDOKzVSdUB/l2e2o0rXBqzekD1kzOq+RPZE71CKv+O9vCwpOUukp21F7b/Lw7wH9xpvS
Ni9Fdm4sSj+s+8jCTNFSk840x7uxcKl8JrlSHFlz9k+A/tXX/R3mud0MDo8vPYI+4eb8oJluMGlM
zbxyT5aaVqh0ugU/4dBFsuSB5AteiNXTkfdahal1cbbyuxE1YrZZdMr9QGjdXK2JXY1Zfh63Dlp1
WVP+tkW3POvGY6L9+1H0Fw9x86j7GwFg26Hz4/2aY4w9nhXV5yadJZToYshnIHhLUTSxs0m3axDw
HAIzdF8llrPnbgSG7XJ6+QJW5FmCtf7DGf2ohGWrLWoggbhWhOyufj3j7zT0lt9Z60TdACliUTYG
VmCeRyCptwGIZ0gia2t/obaHdwGvcVG4Y/eNxi5ycgjVKHbDoLYejDv79yfm/dWJBYKN2oKI+BH/
R09/OJOcJPsuP6sgo0IlYIitzAnj0n1oqIq8oXlReR2Jy9JStu6N1w7VDelk8/Mk5nhAV0NCl20v
dMviWhc7I23slS0EJ6Z8LzIkaJsbkxp+w3qa2ObNtmQKWlKFvcHdBzD4/q0pLaQmLvKaB9YsCmg8
3bRfc0ks3VbHsfNgxdiCi8dihVqFDujvb8fm2/jh9SdAISRmAdyAnR5/5OhyB8MSfinr5OU+c6Db
rkSrRdPW6jSGs2fij+/w4s3WS+Oum2pY5pwWIPv6YhAFNiRqOXQn/gqnjHKWH7lZ/B+dJlFfV3jI
czfeSfclKM2kp6w4txkI2K4I1Zwdshmx4LpIju67SA/2QbXMjBAagvfrxf4Pif5nJHqb1v8Jif7z
rny/49DbB3/HoWMQ5W17Q94ZgtsEzMS/KarNzwOrH9v/Tjb+g6KC1yJyHz4eCguGK2SJ+8O14/8f
BncAYz7G2sNM+9/g0CLk+N+NZQKMQ9h+0gZDFMgMZ++HVQPujMw7E7p3q+2LbD1hc1zGdI95mgSF
4d4aBVCTDImJmSO/7BJA8vUL6FmA1qpwzsOsrLuUc8fVZ8ljRlrCLmzX4b7NmnPee9MNKXXod8no
vG3JQ3jB/qo20Ni6HYuIqk/I4GWm5/hY4jVuAJJL6+Sork3kUHa7YBgWWrjVObpAsg3ZRil60y4m
qoPPJDjAz6Rz3Qee7G/cmJyAvEufNAZcyJn9NscmAnrp3A3KI3EiqnZhHdw4It2DScb7POveJ4Da
/VQqghOIt9r1XrPc49bJDmQ07Om4fskt7AXkUFkHSivnCAq1nnxyuJImc09W4zef4mUuD4Oqiv2K
bbg2/YeePIoDs/X4tXdHsNBQAkX4uCM9GXB8iXGWOyXoCaL4vKCyfw6zvN1Lx1kBUUlhwrEMwKoU
7tOx/NAvsb3rhmo9SJyUCTUY86itvEOOXwx8lyQlLSeDc6IebujG7nOH2o+69Dm25RZPEp5iOZ2V
0FWS1riyESeTsUEruXdTm3m4dHZ+vrz547zs5nG7CFWN+3Hy0n29TORY4c491NH0sxzivWeMvFEo
1m5VXyw7D+HoVSBb1Aq/dtfs8SBYCRxcmHR+cI7T+GZcWnsXVa7CYZtab4sHwEBL6R8GANbEm4w5
uoLoL2uWy8WlinkNS4xRCC3mfRjqDjWYQ9wJYpT9YGyxbxAUYGPITmYi26kDSzrETvmTMoTAdlZ0
AVSQO9f3OjwKCHk8mprcm0go62hb6to6VGX32g7BW2TWu9LVCALnQBythrbWIWLuFCr5dfXLn8pu
FKcSqQDIt24Odvz/2Duz5biNNAu/Sr8AHNiXyymgVpLFVSSlGwRFkdgTQGJL4OnnA2XPyGov4Xv7
wt1hiSyyCkBmnv+c7+TaqTWDNxvVNurHAAoYLOwSPIYLZm3jy+Q2qPN6NyRA7Tj8AMdICHr7BgwZ
8KQbUCTH1syNL7O9GKRfuwulFV+XGUIA0Us8Zlk+HxyBaLoswt9o5GjDTORt5CWNfUgXsvd2OjNu
LflvhNCfta6vMKCpOMIQNxJYntu94fMJ1vByd25Omja28k/SdJMroafVzvK/JkGnn1SCcxiDu/ZA
zo2QyuDipfPKLLurRkzHonN1ZId03jdZIB90oYCNe0FxtwAjiLpuuep6We78vJi2ZkyQduHgEzmg
srZCGcmmNzX9BpPqAmQAnCWrHYhB8rlR2lv5hji9ezQ4xoZZ4gNMwAXaO6N5wdFkiDRE+U+gJHgX
wR1HJvJG6GKGwtgMrUV3ajY6Tq5/mmNbh+ZogG7Aib/DucsMeFiYlCyFuC80a76JOU2dDOQQh6S4
mzK/0MhXA6OYIrQONxww9W+tuSt2/KjDJRRbi7+oXVJiUO7rwj0j/nwlrJCuo+PyOLbMlQeW9chb
eD8bJhkHLy1ziGD6O4YgYJtT7ZyakSBz7vb3JP2O7Indk794aMLSuXPjvN0y4am3aUBCeZlKN7Lh
jGJKDygXLe8yRlpMB27KAWCjnmfGfs60t4ph+q5k4o42RiKKv995Yj+5cBCELcTOSzQZVrJrojlm
G5DSG0riKXtp62SCBoSKXJvq4IHXI8LgaTBdYSkYuj9vzayGMSlaLqnElVez6e2wDLwELfgEP2O4
Pladcx+baRJWHimBWSOvbuR7ZbdvY4dE5y1zfHZkbu310jBOsV/i/StNAD0zg465L5poCir/kGKL
rkvzi+t2l3li58fOUY/+1HnsH0n+l7PlHgc9Ew9BMD6VMRRcrI1vLqDBcIyzPpySkhDNcOHZvTw3
vnnKalltnLoumetg0dXlTZnGIootIsxx275LOehRFtgcgpeh3tv2kEU4nKEMAgC5ZBIl95iqfXI+
cXAooSN0FrH42Q8eZns+YFM0LhY3H3ajObe73id1rXxeUawUldHObrqCDIvBIqS0GDrOFHA/G0m5
I7cPBKJy7tdpWOT28GnmtjsmssVRNFoaEffBJI7B8gJ9yP1cFup5igfob7P3rR5MxmtJme4Gs5/2
Sig4xiJGXKnG4BpwyY2eQHdrMZDxg09XTdvFYe+YTVjFdyCA6+0Eak61MFZ5oJVHI9WehqDJN62m
vllZg7kLB/rRHxfJsyaT2xmM94Hnb3ZKUcD3CbDB7eQz1xskEVuflNQ+WyxnlyA37bCbgvixG2Of
ePnThM/iuGj+w9x3F12BqxS99d3SGu8Eq5JUP1jZjd24xs6pPX9rkG05+XBPoEiwki88VXekEupo
8ufFEl9L9sX9JzvrCatxzWptIA6KmZ7dhLA6/Xp67DmnedyKrdvl5abl6qv869iRwcQQL2XSwU1W
5xUA2UNr1tlohF7jmvEna+D86IJbIN3iJ1unq3l6F8TVmglOqTBj5w5MK/LP5xpU5CJO0ho7L4DS
R5WVA78Q6n5awvqT8Lqu/t1efzSM/M32GoFgZdv/+fb6fm3r+M8fGT1+/dLfjB7UjPKtPJB4uoGZ
Ap/Fbz4P6xcA5g7DSJvw4sef/Lq9tojEsiN3fBwYGCAxfP3f9trCHEa0xCGK+pul7B+EW51g3T7/
ThUB4UEJHXIVP4eBtMef/3CkH6BlC6ip9UGNnjFtg5R8SigELItUtM3OFaZNACrJ/duATCTThExk
58lVdTSWqe9H7KCZxMWZ9fQB/ibBJ+7Hzo2/BDbQ7gZFpUEJXpxDI1eJJOA9usg00gheIWrIy6pw
q6jXFLZwXNGBdemXWnoujFojzWYDIh2Wtmy3bZAlC0y8eeIpxlZAQbvJxXtXwf/CBjHbu0Lr7OvU
yNVNkcb2Chsata3earDN41mQ2nAdAa7MSk0CQ6rjWQcS+4ocbUww3GQsPlSWdZoW3zoGCqV4S+px
xITLDxW1Vdy/8SoGMU5b8CCNB9GxYW/ggvCNy/n7FF/FBDHCwu1r6Fva5BwyHJ7eFmm/es/4wA8O
WtGNK6BdbY0li78tpCjaTcFw4alZ0JjDmJ/syW6c7klMenEXFDqrrcrS62kglwtPur7uOznOF6pV
iRPZiLQp6HrPZwhXlUYc6kZb62R0G/9WFfxcLUUPzA+MOIbjYoGg2QDv9W6JUTZfjMT3b+ISrQR4
ldSNKOYsJiJGgPXO82GVOYt3VKRrrwujDW4ceizTyxwgwaHj/duB4g5gyWXtfknTVSQPzJ1KR0w1
mSPqeyZU/q3GqO7MLo3Kjtl3DpXBxrGKJUPhmmAcgwhAsyUTdjV49XUhWwSJxSZd5nq5cbI71lY0
48GGfmQ63WHRqp7f2bB2pOnar9NStZ8lzp6nRiddEQYL2/nQSeCuG1rlbyUGcYCy0xzcqoaxDp0e
wb0JEPRW4UtKtoGSWhA6o/UFhliHOFFqDmOQVJtefMZdMEyN4LJpLC/ZDbOenGyVi+xAoK1fjgPO
93mfxYN2aSLpQ1WBeMTYF72dCYsV5P0xdYAUbJKpGe487FrFZWopZoA+5RgbQ7ruJ2HM9lX6Xe22
PqRv/7sO7n6I4on6UMi1X/XyD/F8/hDS21VT1z7k9fRDai8+ZHfkz1WD9z3f3yXyQ5uPa6n1J3DB
iPZUNSDgm02HdO/wj1yJC/qzFyfa/TzJLjSLmDAKwW3y0d1TynAgXqcE5cfAAEfyOj0wv88Skkr3
BKlvZgyUD2XYSBhD6OsEIl5nEZAoUmLPenlsl2R6zHozi7Qgra/wXLScRPu7fJ1scCBjyEFOk/hn
wTX06Lpxwmq/TkQIe8b7WrKibdhqV00IE6OJwCuCUFsnKlpvdgxXBD8DDviMocs4mEM090pdaL6e
H+tBd6I5EHf1QhQ67+JjPhodx/JanaYsH7YU3JRbu0/ZrdRqP2m29o3T4bZlbxe2MQFon23knJnG
Zm5674xF4x5rUMJJZwJcnzuPhpTAAIdh2MDGra8nX78zyHdvRgn9XOuYkxHOWq0zMVtVhMkdMjw4
Ikdc6KLp3vLZO0MUij8ToycSOLXlvXDBCebQtMO5sNmblN14Q4jM2rWr8DhlnHZs8BdZ68/70tb7
ME27cjcbBXN3ja8yoGYBc5J1w7ht+VzHYIIY+14vjbwiCByHjUnkBxCA3LexkLvc1cBBy3i6drsS
SlZXfw142u5FBtg4A7K9Q9TMQ/Z3HRArk+6MmsMN0EPtlOOMu5hL5suDl3ypM7OLEoMDTOExVDUD
qHBlX8unKW+ng14l/acc+ZELY9L2iVTvg3RJOTO53faSeQwZ+PiLVThA6z5yC25uV7D2aHs6Dm49
FegStnMhMK/tgoCoGnR1zBrNUNgnP0ajVJrm3Q5NGrAZZGnKKwDJvWNXXBXu4sFhasWamF1DhH6b
9XdB18aPQeusZSFVzCl/SM/4CtuvAj4pFHeVFc8NM8mdMYxwkDPT31V4S/b1MmI5nGL9KZCJhgUS
p2NNe8BZ+JiWoDrJQ2VV/q3FH1whW2nXbOgePfRWPTQCzAAJCeizNJkSboiRFsbJUXlyGRSVT6BP
oOmXfQb3pDCtGlHHzRaS5RU56B5DwWgaQOvgeG0YkQA11ODl7z0YL6gBXnHSZFIyLEwG9tKD9tg3
evfEFQeXORsAeOuWXE939a1aep2KrEJEfm8f3aHkMrCnnQ45AjxmanPaBZM2drZ2lLGXv1mdXb0x
s0bDxbiCW6ePOa5K5iEnAdTNCvO5dSIY6ManOh3GO/iG/jflD8mWLJ5/2cbmFy0AHkol2TNue7XR
ZqGHne18ErajMSHvitC0IEWOBnPBZW7jT4m094pIKsH4V99snf1S25An4mUMrWx+nsc5iPqSg6Hn
yZe2KovNaOnHIlXFlnhK85bE3ggPVKsjJMr8MJqkgUMTFWO7uLEBhR/qWNFNxa0w3LNIenFZLYDf
q94ERw2fZj3OpXKCLArEECggwPqm6r4Nefow1xFbKfYXnDqMzWSNzHlxdUVOrJugWteHK7itdTPT
+mFvy44gs4YQJuLsxSyKB810axxdrf4lNT0088z33qQh74bReI+RD4AsMOrWvM+UdOhR6+ArU4Xu
nYKZwFlDEAmqaPu5TpZmtwTDaRIEaYu0abYjqe3IT0brkKu5Olpjc3RmDjO5a3zKgONellzzhKA5
7hhY6/dm3qdho+d7wtbNqe7Vvb3Q0GDA9yBeyPkqzZdv2EPssLeG+p4g0xhm3cJ7HVfgPylsGLeO
W/cYZLpqp4aavKrmv8aJ+Yw3Jf6st451jb+YOavv3LZGz3XlvFZmZRwxHZIjTbPmoiGXCnHQfPOq
KWRfgJG2aFMAumWDh7YjWtnE+aazybxmbcoMxXfTPTsW787QZtigAMZ3cELVtSm8+EbG9Unyodel
xMiln9O5I9zrcSbMDT+J5lQhJRgUtFlN/kkVjXsXryZ6TlnOsMGaT/wxXeGzQAa9EQcIAVZkTEUJ
Stu5Ednnxx7j2rrZbA1xDSQNyssUXBCEeMf/z5muKjeppl/HU3e9lCt6o++wrnmbnAoEWUKOXDr1
MHXDTWP0170mrtitIRatYM2yx5syk59kD4igCUwJRjpR0DFyLLhVG+XZzqXIwUK4VSsYA8oN8DsH
+gPmkhuInsX3cqd/5yp/c/Cj9Y0j2p+f+/5HZkstXn4M/Xz/kh8zPza69koNMmhjZVb5Q+aHMBvD
Fs8w16ZIDmO/nfjWfA9f5fvWR4fkekz8daBiGcQBSBDx7XyaXanE+gcHPtP8/TzF0cGK83PRI2gS
MqKV7KfoT9V6HXZWd7o0sgY/87pB7uF6Mppza/2ibkbfrJAw6Gga9gVXdKU/9SDVjS09NVX3YFZE
IeXGANlmEkjOZTPlocfDp/HvM5d9DVrZwD4Z1E8DAVrsbGtiKihEMNPHMU1aGlLsswZS5FBWHWIg
Lh/RN1einHPY12PGWYbZibh04lydaq0a9WOeufPVTG3LQ261zUloLrpyPe6nevSSUFdBFDh5c/mx
7OPGpl/DQcp9SFk/RZilA9VWQbU2Y/kS6+Rkrf5p1MqVvVAywl4KyqH0xowRW/puvMr0FBeqmfYT
bGgAEQtW7UQv90KN5V6NsvQBgNTZ0a2S1jvj8xsBirIJ3beahm/LbeZ+38tiHNDH2ZykTOcPDYrh
Ll8k+FZUXL4xOGXueIA447UJyelzP83G3eRCV9rXfd5HaYd7CCvNbKqQkdcCqRPvY+6043Mv7fkx
XmrPDWXSNuqoal/xXJYOv6gNs9R8jtHfL2Fcl/vOZLGzjWLcUnrSAhAwJM7kms20Z3vTFlUA/0tW
TCA64857DNZ5LtJe0O2z3AbzlnbQb1lfDRhMFueg29Yt8FxpooJJWsYYOh1FG0ree+wf81zjQFWN
HsMsG+mM9QrIgDtWh7aOqYdMxsHfmdM0Mb3K65A2rDHZzWav80YnTeOEgO2ndy/OdKYbRgJplbtx
V8QIgTpo0JeKlkNzh8fS2Q+1au4NIdMLDtzlc61D3Yv1tQUJla8/lGO6To+kd11VM5ZxMwW8BfAK
R1JaQv/QDWWM2yQpW7yzidqmngyuyf437IwlmKrWTk4UnylvU1tVce+WlgOYChj1N519xbGPc5NQ
tcemCKjXF+4GOSLEGcHXuBoxk83Ar4p90pPYxAw0HCc4osiTI9poIOLu3rfHV31ytGicgfvi851R
bss5O9YsVxCeEjUGYYLb4bJyS/sEnwA8OlNSoOSpi2LcLVC5mEiAzDcrzYq6uH1w7FKeKV5bvoLf
Au7eJvMj8kh1iJeYW1DTmA4hgS7Wlplodz3XSpxbh+Ml5voc56k5QpR1uoJBCvGaT27SQnPXAnEU
iC9PfVtWCtBeXN4VdmOG3VLA8KZBra99rkMvhiji2IV+66TtEHIOs4JdLWxz4skC9eyigRnGUa5v
rnHIBjvGN+Wb4MACKbqrQ5W2rO5qDjZgRl5xAtuRNXP8d/wMqw5o3LC2zRc1zU+47ZyQkrRARcFo
erKIWsvhc6RxqU2bwb2ZKGYCx7KhWGGY5XdTzr+r4t+siiCkDFwmf74snt+m/5zeZPc2/7gy/vpl
v0mh1i+YAnA6s+xY0PzWfOuvS6Pn/ALcx/I9BnBYBtbl7zerAcsf/lBIfoiXHkXJeBd+Wxn9X8hG
e7rOn+horNh+/sHSCBXqZy0UJRT23sfi6NmG/5MWarZSVNbg0A45agAxhLT67ZwASrlI49G5UDoC
1T3yUnyqIbYMZNNEf5s2DIX31P5y9JbspcGuF0EWejEY7HiQ+Iob6h0TymuzW0IJ+h7hk9bEoM3D
RWnTOSmM1KLIgMVNmdRJuGJ8KY2ZgqKyehjb2Lnvi3q57WTwUDdJTvtBU9ib2i1jBDoDeDQAteVq
mGyHNTz3jbvOBVbVNz32TdB00Lwwtt4JMRUnlMN+W1cUFbgNXzhRAbDFyajOlaq7iGgBmKOFvoaq
0wLqaOGCbRqsi4xqOB5R68WwlixZ0bxYo9Fvl4mA7mJ3+ebjjSqWFjXYS7/y+dM5yvqsg34b5dEp
5OLviTQHbK2r4bgUuR161sAXds5EgxwG9ZkMcBVUwRMmKdrAROkjTFX9cuU2PAcd+HaHSlfLoZ86
eRy1gVc3oAfyxNXmXZf1GBKy2ho2aR9IOlUyVO3N1FkLRjWfsa/ZJNrnYbCce4Sbqtq4hP0upd8F
+n5dI4klETyIxmQwnmXlIy8USue70buhrv2m1N6XdApCZbUxT2KVftMYqJ8BlMFLXH++bv2puLJX
OYh/H82y58MQ5HJCEJWCs7UcxB7JcAzJSCw7RpratvPnnnAVLQIbD+sjoAcD4QuyDo17l0yF0vQQ
l8D1Di6DbIsuAY+6Y2ux2GDk8aJthFYXp8Wuj6O0e+oS83HY9Rmnr0ajSXnHWdrX91wqy2HoK64F
vylO+dB1Ea+ehUHXOdnWZspwX1dL+Sg1q7xPGzk/t03aXcI3CR7yhaKE1DKliwDeWifhDMlF3Nrp
E+w22Gkk1y40rO+h7+b4WIveoc+h5pfMF0fbOuTmxJ79qM2TuF0LJwLUWIVt4vMiJmguNofQsjSt
98llSMDpr6pqPCGLQjcz86yAcaH3jALKmu8VkPHauUwXJvpaLMabpGskU3qMrEV3F1fBfJUtUxFa
9epy6fX4qnKrTBFhn/y90QfGThK7eSwHv9hXPmIZ9JqU+kjVZ5W/Lwy9u+9r+9npy+GycvQngthz
vtJzJtjWAxl5fPnlVZXESx92huvuMn+JQ9tjsDnohTglpJXoBRx8eb0sZX3Dma667TSLNod5rm6c
zIZolIiAMF5LVyaNX4fFc/stnqDllNqrB74wJ6LnpWN9UngcN0RffMWezuVGVewX7Y6+NhK2GRfV
FBc70Y9qa9Y9DRN6nC9EgTpt3zYWNWjIz9fKt4oLwRDihuCIuR3xefMXvY6dVlKVHKp9LbAvy6DN
hmhSuvdMa3N2BeUseZ1lnr+Jvj6SviCK0gRFJEAIwNg3cL7A+bVcwaZb916WFoUn0nKpxCGpqxa6
r97k22k0UqzoI7karRDLJ4UQsV3yNj2PViNPi97Uj5rrzHuz9ThFWLOGjMD+T9e2FNcYjGbK3oY5
KrqtNQgHmYUHBbYiuGfR6LrzxRQ39W2qlu4p4Pe3jnaM9/5IQ47XRe6SwBGL8zTUZnfAnUmfHGkW
sSJy9HagUCb1yCF5TEupvyPj73qg7EJVSmQoWWH37XO8MaNktEN1Kt4qy8V8JYNR7ekjECHtRi/1
Aj4dc5F5rGOOAHQTaQ9FQeQS7xP1vsGkcCZ4ouybcPEXeSOxep48gR2Wactya7ojT6WOurjPH08W
eHvxOyCm4lTW3KEAIw39+12EvE8aZOEZJRkmR+i1PFZHs4Zl4M2sMLJ2xV4lPJ6hicI96JPJvDOc
9YX6VKpIEF6Fr4b0eTXp04j/bN3RnVnt53MnaYWN6nrptyS2lyvJ8fNfEYErP+vnv9suMe79S3Pm
XVp/e/vPsStfxLffbZi+f+FvGybjF6BasAAs6q4/FIP/3zAZv/jso/CyUJjGlP//90sMiMFiwBXA
Cg3g4wclwebbwYda2QD/ECDyfS7849wYpgmHGnjqODngQP1sTm9lMsgqCOqD5nVA4ua0vg8KUrCk
wgICNabzPFXjeFVqDZmgoXkugYMe9ck7Q2kqi7Ba0iJqUJbZE1UCN5H+iIKaIOyXbb6rbXA7ADdg
OJEMCu1Z83acSzlKQP9suJo3pjJucjXJl8CqrtypvLK0iYBqE0c93ngehmuBBodNVglaavQhO+MO
csPWa7BwihqbluZTpOJwTsj0hcYL/cY1GOkGcnqp1USxT4H3xJ6Ljeyz967Mi6iiWGtL9ursWYyL
sDmT1BbvQSGu2OagJDoUuWTDjkTr1TAvNzSEXeCFoY8n10hFZi9MkZAm2+XV6bnPR+OV8/tzO3fA
WbHhySq1nlhcD5n0yYTo2M1rOuNY5v2z0VvPxVi+eKRddjqVErosrtZ3oK/oT7aL8p3kN3lkrJg7
q0ShthA7SPlz2Byn8SGxpjtf0OTiY7I7okO+sn4E+1XqJwlKB6NZH5cVKqBNHW+Mroe2k53MNf+p
CvXgpvPd1NjPqVWcqH96kW3O8885e6klgSDZHUO04jTZGWUU841d8lnNVr9rg4bkmL3uUcAgqj7l
gGtigzdr3igzZcSAM4aqYCbY26ygZXPAFUAYJaMQTVvfy7R6GYyZLmbagTY9htNwfa3G5i9Qsckx
T7/pzWlP3dIF6i7n21G/aDwowWORvlslf80xsquiUBeMd52DT3PqJs/4DWHxPS5xT7tS75Y4sCwt
ouqDXS7QtShlQb6UTk6JxvIobSRzEsEPlI1EahY4I1LZkyvLXgSJgS0VLa9+vVxwDl/Lv2R2Llrv
OVP6V7+1roMpI+8KXg6B40BTDUl0NT4wpD6AasC9Kq0DrbTphv0aNsx+7ElaLRduPdOwMvF5YrO2
ANxwJTCy6TfIyxapdf1RJMZrYIGZBL1I7S8UO8MbH1o5PNiqfK/0fA51hHmiNOrBio10Q7lvsyvN
mni7i/5mGBkbwPV9N4SLfGU/163Id+Qr2NPa3q5fv47fE3gBxrXJcp/JT84HIA7kug02vqbWfMlj
Zuce0N1IavF4a4FriEqVxOHc2gwd0cQOrTePpxZA2rGrXP+oRk27xrBZbjE2URejNfNOT8vxVKUt
w2ettF4pM/kyj9K9NHxSLlw1dYYJmcqZJo8gEVuYRpbpJfaYaqOM4fHeI1GJRzB4j5XS3CHiOBJk
wPuIiafx2RbFFzKRTDxViX3VnUPqdKKmn6G4USBtREzhXcyRZOpPPqLbxvXo3NPSG1HbGNU0+7HW
kIpIyzrbcXBelJjlqxAm4p2Wp9uSGkTf4+jSUGW/q7JqiMy5jm/w0PYM87j8l9x8rQ2aw7u2Yukd
9dBVJmVHXs3nNnMLDAuXIbhfnNxEla9t3aMqDP7vBrT3s6e558Fsp2M8ynfwvhe2W5x+OKPffH9e
/9hZsYq9v3+Kc6YO0OK49T1U6Z/E4IzJ35BPRX2wR2wi2Af6lVh3zpz2aokN97t48qexNBal/3q1
gAXNghzH8dr96Xwd2FB53dljr7gagBB/TiYMyo1r8UD/69/r5wSe78O3cnxkdh3EFgoBP8kPrqbJ
8xgfskk8mH3xEsQ8DdfHcW5M2MGp266P/D9999ev+ZOwDhGP1/RNsgqrgsD//v41E0uAGO1icZip
P8LENz7Uihtbo61q0ujUXX9fQCUXsuPp9tcv/V/5p4/XpjWe1KzBof/nwA9JnAlKpC8OXSWtKOeM
fzPHnCZ5XFzkdV4c9EC9Tp0ad8U0jqd87LhvA3QIqNKvq6CYiOViAJtI8tw5BIBzQub1W9OfLiZ2
qai5HHQKrKo0fVxhcoKDMN4B0HzUnRQJVNETgHsmVHUd7B1wup8T7Guh7fN4+Ovf9A8uIQulxySu
YujMCX76YM0yC6ratIlumN3OrvUbIK4QQ2T7N+/oOqX5+Vrlhax1a0VihKP87z/NYDJ8xR9yrQZQ
iSgSuJkNQt56yUNYuAFtZz4M1cSobmGx3ni9Xt1ii81ItSfv7chzed2qcJAoOPGpi0Tr8L5Nw4MW
uGdLjvvU53HvNBlsyCSFCKpM9Zw4WIqQxBtSkXNG6aHs7kShHpVk2R/MzD6RSKFTHn/ZBb6q9zgj
ZCCKkk9R+fUeHNp7XC8r7xsSJW1xqrEOxBoPEBkyCvQwpUAvusBeTc/5sNx4c0s7nMn3Dnzti1xb
7j16Gv7mjfyDJwz2RmxuuLU9ckQ/fWCLp9WtDS7lsODcW7cTiiebs/p+tMk6/PXFwQ77vz4z7JQ2
nxbGA+fn1Ks0Z4Dc9izIuY93tEueKiSSv3mJP3iywPKgQmj9d2D+XAaSpZzVSl0XhzoYG6QnhR4R
L6/rkx5HwMzcB43ItA+BZp6nOEi3nAJPmoqfmI189V24yMy+JF6z3DqMOYt4GvB0aubqiqP3O3h8
a8v4oziUlkt9IhbqzQAO6bLM3C0ppE8+fWsbF1PJkaZ2psYgUDaGYdFRTnRkZ0oz3VhBa+4HBcJB
N7N3R3AJtllxNaoCZ0Iyr2oNG1Qq85RjNAzmMO2Men9XCzPdkp36fgL802f+Ojz9+UPhsyCDyAAT
9urPzFZhNr2q50ocjJKDwphWWZj1tOqZDK6vKNyk/oftFn4C/1w5LjoQ86bNYlTXNDc8+nEBLsIV
w26KF+YUxJojMu7PYIOtyNcZphWje15bM8Mhds4pSJzIkTyJGs7ZlAbOj7o5vS6dvsm87J7YJ7uq
ll9YampfpPrjzEaM7tK02VvltA+a6S5harDJiaPgDOfB17njtAF1nkdVXGKacJbHoJHjd5P1n75J
f3CTsGas/xgWCvnPudqJMSKU81EcJuL6bHHIrE78ODZiTdwkf/OJ0L313x8J01+LxxpIsxUl9/tn
W2tbM5HxQRwkEt3WoAQi8uP8FLNSBQafz4LjCiMOB6TR5DFFgd5zlpTAAdgADjXF07UImjAj1bIN
0Lk2WdlR0j77X7vCuNSwsJUBgR3o2Tn107UVWU33WuXLnSrni8pbF2Mus8QqXuJp3aUi6eWLfkW3
SZSr2gzZrm4RYfxdz0f6cbxcbGXhAeUv0j94crWer2imcdfEQ78plz49KvBUH4egWOD/Aplen8Qw
PWQ9B0m/SFB9Wo56zjI9yD4BLWEHzHTHB8pbbiAdnSyL3ZrhDRHR3JkcESGfiv8Sj+sF2QzjzsDJ
s11vo04559qbHtxkPUA4hcb9RINp2bJbQoe7Ui3zM6/hb0vNeW5zh1usj9vLwFGvsu+jCTclkdrs
ChwwrljFVpyQ+XOejncT6BcETOcAIe+kjfkJf2uLLsYN3PfliUPxHu+soAJ37ajm7nCn/qo0nC9p
N4lTYThnSlAi9NoZQzPZDGDU+6mV9QVl6GcUtWe8r3+3Hrt/cHuz12F2ozv42K21Qv7HnRaxmLwF
Z1MdOm9+JeF11+mseyPHrNjhtl73Xx9H7XrVYPuAnd7HPS/SfjdP3bRpc76srayo6EW+DQg9+qO0
vKjsE7hMpi+w6Q7zoTQw5YxZgUMqsbNtS133K0i84KqR+CyXhHWxX1JS1ex+w8WzzqbGMybv58fR
YrulS6sJXT0bQpX0GMt9dtYJB0PWwxSnXUif9XT08uGhh7gGdx/iBmlP0lrl1TgMd7az9gxhFdhm
srCidlouqnTC9o4kVxk09Dr1/Op2eLIk3laP0wGpT/c8sohwyBweLMCp626+935bX/8dSP6NwgbZ
Yi3q+vOB5PHbS1r/KK39+hW/2XTWRkKbK5aEPM14AMz/T1pj0vkLwQvDWdG4v5PWPlLPAUcK13cc
ktFc7L+OIpHW4JwFpKEt7gWHGeY/GUX6K/33x1UThxCsX34sGhMJotBl9vvbqjCov8NY4J6dFB9m
wlOtvRDeTLm55hvzio9VZlVY4qT0wC3vl6xxgq+G6b2lSDP3tldYeClq68F1DfXEli+7cCyPWF5p
+pARG+ESngIbGdSYOlYOLkFOmLhpMk3tJ120MfOl76V7zDK7/TjSs3T2zJRyBXzK/i7rUnGs4hmR
Ox/asJqNJALtZkcG+PZdmhmmuQWWc1s0QU/5qT7Fl6XVNJcdqbH97I4tYWg5fUPX/mJXvf/NJvH5
mdyBt9ebrPkiq2IVoSr36FrdiyVzApuKw0SOSw/DB2ZzddAbylP5oLQzQ8BYYQUd6Qv2DTKb8nvH
oNcMRjXunI5bkNzKlAPoT82nEYOLPVhNZGTUXXQYBUHm4f3raT6Oxl5/Kp0sYGah5mvibda+MYMn
pXz2X/ocxtZY3dq51h7sQZpnZlbyOPgWwQvSapfVWE9HhxznVaCVL0Hf4itsRLMlxlpctBWiW1lr
I8ukFx/n2FmxXUb5VpXYWxZGt2/Itn4b+h3g78DM3obBpB0XrOazw7RTbKiPAkPY+EmI59X/YprU
6DpoMLw39RP6w1Or8dJYscCUpNP4+X/ZO5PmxrEzyv6Vjl43Kt4DHqZFb0hwFDVLKaU2CKWUiYd5
Hn99H1TZ7qxsd9nee+GICrtkkCD58A33nht2hr2zrKLcKUzXmGndvKCyICuL1ebAXsWim3p0l0mt
0hldndZv5HM9kGvtyZD9R8io9uiaPTnqGjYlr35wAxLEB8yUAyOfAAUZqykHX+GDSmV6R/TVgvxR
iy1W4BrHg2m0DFgnm6vgKfXhyR9UAi+JwEorfhyRnV/svJovenasa+ptxlA6HO/Gpm72BUK1j85T
iNPgDTAgTI3qB4vLhBXWqOQhd5PxgtY+PhKZ0F660Ftwsjhj9KlNSkCiJ+h9AHlEm7mv3CtZ4UDY
xJ0rbsZiJr+78RdoHoUpim0NUg9PX9t/saa556lkzSahJmk9b9lzxYEZ6WE/aNPepkYO4avMTf8K
q8uUsGmnktoOddmsa59LXPOiXGw353aZW5TMLt6jITX1DxK4yp3nZf7RjbFmYln/dBZbbCytidhA
s+JsrAaqHWYcKgOrsqq9mwj/JR4oAIbGvarCIr4jGEzvGaaLb4MjCWaJpfORYlc4Q9odCLIf6CZH
So9NI7vx1S+VdWekoRsI1wv3fVf6LBHTcb4qGW91W89DMuuR7V1R3xqa/A6TxtBm+sVqr9g6zlQE
KHnMUwvO8SETtn3wsrH/Ymu7JJylgD+WhClyWVg17IItlOq57+Vbz+ctOSVNwcbMfNAF7sg0DOMS
vqcBc24Xzrt49JbnASMTQ2oSwLUtPKavMx9Jp8Jr7RXNnePUgUQc9RSnhvOAveXYFNaCGUqM23Jy
zzZdMWtJxrCnOMxRC49OeQeBzNjJUeJ59ypvfkwhjV6jNDSfTLNO3mIsUoGx5g/1YzOevDnW4amg
eXmcqGRgdQPAmipxnSOOEEU53mPiaC5zQjQIh6e4aftV828X6BjzGCmVqP2ACbs4LbX8lKPt3FTM
JE+mHMxT3vZAvGSbQ62skCTwIR8Q/wNQiysYVBUMBUiX3ePi6/l7Liq2hUDSjzP4sHva85y8PYkC
GFMJU9vYTg8ufV2Ai2vt7ZaOeMl+ei6IvNjXVRFtHaIqr8VUGBsCK8eTH+kxYNLvfbVKoY9zNTKN
mjJ/h2BgNoKktZ2vPASXo/J947tMoExOo4YMy1DwB/Pd8oY9QPnQ1qA0wGCgEqvFe7Tk0a4mfz5g
CTkciOLC2U3KtP5qLlF3afLsoS3LHu0cS2KraaorM4u6u6WwCb2ZvOVOyNi/bXWT1puuD5edwtZ9
yBVFmGnh4Ud+Rny0q9X3aFWYj+700aOC3qacmdkmTEeS0BzbuGhD1QBV7fGlmpAgKFktD4434guw
Sudr72l+GyxuAcZ5uIzjdLouwLhxYGE4H1nHv6UZvbjn1vGNDIvisIhSvo95pJAELKRBcaSb42we
bVoArHMGOpw4llMAnNg75X72sAh5onoQrIzIR9mlgqwwNhy2H7jxcD8yknsxJhspbY+TbnYKfZdk
7VxsjBpHFF72+uxbtXuOgGt7nKB4vDk3WeJ04tK6hvWwLP0dVB3m/pnIrnpuGNq8vn9KZjM/s4Eg
3cyJD5gRiwsrb31iiPOQzuSKsRUrYVZY5JqrIvLAOTr4TqAr7lqrz/FRhReiPtND6bT9KRSJh2Vc
xMFYkYnIDwpnd463BhM4uxo8kLvJC/NLBOuaR1E4vutYVAd2Lc7Vggn5g/1c9g1jv3Fjt+ATLXzl
i6eeMeS1N6lP4zOOlntqOmM5eL3b72rbHZ7bXPdn28nfk2U1yiU47IizLw9DP6fHfln98pMRtWdo
sPAk4kg9tFFR3rE6weLAkwuMZnIv2QB8xQ4+Xnyeysw9ZDi8sNowjtky2Je8ipOzGdv7kg5lC8Xm
NnXUFxRXakOAXbaLifDZuKisniCkVYe+8+rbyusYUsFi2Ys6/E7fyBEYaX1AKQRdHK/VsYUfddFK
jVeVnUavsKMgybZMs6slqwNFZvkPu86edF6AQE8T9xHtqr3vZNoR2RjOGyexrgdOVewP8i3EY7OB
zadvISheiLmbrydngogu1XNWoyqpE4tkQNK0DnGj/X08peFb088TYIC4eZuMgjADnwCGkj795I7A
ADCpv42IyTDa5nIfjdhgVJTvsl6/G73N0He2xMb1kuXs+4Br0ii7mrort8SFvFElCVEqK6Ot9kS5
1cLNnhOGL48UVWhJao9HPVms6HzH1EtuV4zzwYf7cZNFiuwIqzqQNddc08YWQTHZxgHYW86Kx4wu
blJw7JhJf4xg/9qc+IlzV9tIl7XK5B63UBPMSWJvRzW+tXKNYXIbuzqMo1xuK5IFtyiB5blcmmJv
e+P0DnnDW+FtC0VK2jo2bPioLjYO26fALpfpo2Bp9AaybcuAuH3PIz8MeCE/gFTW+yQv0KLNhdGc
5lZ42zxJjSMaipSUu5qEetAUbHXhmqInSpWDnoXoajir0WfYNWagCqRv29xhQ0ZbDFw5TW6pe7dd
LLL9SHDUXrB6QB8XyvPCOYB0lWoTs7Q4hpYhfmDQtFn/kCfVs9YMSqfDDhyjraP0gE6fpffENqZA
VMmfuQrDFrROYSYnwUf9VgJiPppTGDJX7OFXRLBBzk0LGC7SRktnmuEQIk7Kfa21gK8qe9eGaSPu
3YoH0maco+RGjp38mLC33S6QcrZiMLOtFaYm/sQFqsSjN4V9AoFo8HT5EUP1BGGTF8x0ntwJrKw6
h6hy0yuiGf3yCcIsd63sPrHgET9eUCkzPnPkYoHyYC9Jfl1C5KMfpy4GnKgIDKTTsJqiefpeOZX+
HH1eITWC/crflG9GBFl6NnEvYT/E5CYHb4L87sXnfvDq67ri3waMU361+OVZJPHtuaJxnfo+LJ1o
Ng+xa1ekd1ZT8dmEQl6X8eSdHCQ1/IJp5m7c3nnCsEySa2M7nyqrmMwv7lJdhbY/rkqz5qFh1Yhv
CmQTU6D8XowaToZFBPSm1GN/VFnnrafBHFD1mUGpKGHMsc03UcTg1mmA27iZbeLybNW5ESzJY1tY
O8w8U2A7MwsE1+B6Iq3K5yke1EtLnPkElxWMFfJ8wwQ1jkRCcOeYCXn2Ns66+etoh7fY8LmtgtS4
x2n0o2BIIDxvO8JBrkHPMxTrUA818KBrpJUeg8wwqrxbj6fwKq4mUCxpJTVyS47ZecqT5Cnysu5r
R+lJz9QON3OxRI+5vbR7b73ZIRknB8Pv6L5sM9c3LHoJcICvjZegrwSo1bZ+xFkuOkSF/Kv94tun
tG2Khy4iOi6qZf2l0Y18lZVXvxZl9CXMXXFRJo6rzVII42iZVcU2FdXYpmd97/p59ThoEvSCMKwK
97qftLonEO7dXRqcZxW2bfblGr2WNwoe+/ESKRQCWejc4nbPXhLkZ89eMoYHz/RZ3c6ESRxohbrn
tOnHzwHv9baC5HTV5lEV8IqKfUIaYBmwSQcv4HT2vKH1oNap45oIPUDw3xaqPip+A69VU07zXe16
qYbwlMUPTeRTidXr+mkAFYym05A7slz805iq+KSXJbnYeohPOUa4mwwL9cadCKx1hPEtQzjwDL82
tDeOdHhzYHrLnWAN85JyVJh880exXRKXXLm5XIKsr4DFmkP2UKx1krXwvWoIq97IGm86kQPkTVD5
buMYUU6RhKTJ0JaV9J9rISvt5kJgdLaJC6QMnGDY37Groj5o4ySvX0sGpfmtJLPV2mWzQzNWS54C
QBJacDW9dlrB+BTz8efq3hzvpM+MyyExgv/DwZhfOqDr09MyGgnPVwOSvNPd9aJFN7Tre1iF8MKt
ZhqvuCUN9nTyQDSzzlaWTOn+F4k/rVbY+G6WaDqEhls/IaWbvvw0/rn7f3fdGKX+PFOBmoFUHPsT
VRnTHfuXBW1VT6ROWBLJtdHaAYR6zW5u4BPJTwYkizB6Q2FxGBLzjBN5b6hmb2uJnT68rvoFjzBy
3cE4+CSgpnD1//rF/TJGJe6L1waXFHeY6+BhWVdbPy2scznUhQjN8aaqmhu3olYMj/Fw859fBMsX
6zjxR7rany9iJ91E0zuMNzHwvPU/jpHtC7fc/36Z/44k/8VIkjG385fZQLfNdyD3P88k//Yn/5hJ
Or+B60TSh2bBws3DN/jv1kFTwWm0EN0RDsfH56A++LtBwvnNdJhU+uzX1i+2yXfr56mkr3BNIPGA
Byr8/2QqaZm/7KkALAKscW3TXsecnEG/TiXbntCq3o/vktSH+kxJK3jUNFHq3PphpdS9cuqmZVIu
gAuEoY8ScQOFydmmIZOx6QYQHupecuzSTdvFaWc9aGQD2fRie+hPUMcQ5rAhICilGltPmS6rxSd9
MdJVquwi9rb0w+tMgfBQHgQlTCUPu5yvkFRjIDrnSSF/WFHBnAeHv/fNWE9F1vjR2U3XdhHbNKwm
N3ughgwP0cKxavkZnQHNB5WK5fSY5xEBs/3KqsaGB6yMZ5fDGi2ADvL1/EYYTwD5eqbH6+k+ree8
O9j9G9W3uQN6iMqsKRz90Pz+mGjXJ8bQL6EfVOaYNzur4h1vPIQ/3q6tsyrwBRnCNYJubOeEUkej
8y1eH1gtVLfkxjYJAKEycG/jRvCom4n9gsDgwKDvXA27IvQnn4R0QcLIo2t3HfyWsJpfwxmJEYYv
PIjzFEaPQDZDH+HLHKb093o4EaDMIHWcAKTT19oHR03iFBXWwEovbdF3wzCXe7dzNBEFsVW9zM1E
ckBUJy2huSS0GW1B/JNhe1UP0mWhzEhHtwffpfhKJEtMrBvlYrtgWWzJX3Uyd/7a9XPt3PFOTEF3
NORYuNaiKBa9tWvXQonZmv7hrhWUXmupNlZsfiPLCexVp96X2r2vWQbCttRphNqqK+/hBzXnuUSb
IvJa3htrFVcMuXMOlQsMrlmrvLHygf7+Xv39Xgjqucw1EK/Z9+S+Rol2URGyuWtR9MKtzmaK/rTa
+kwVPbhgTGPAlw26qO4U7nTEkthb6SJBEUTFRnug+TY0+aQ8s63G+0cAhkfuWsXiQQU50C/rvm9p
I9lqD+5jDrWB9B5j8qsvWTO4NcujVlAb+8hwGrGGMFnTtArZzagtzyvb0b848Gs+se7OFbtDN3XZ
YM25cRmwnberYqu8aQ0vvgxFp6+csBjfKdecapO2I9xTqr35NEWztsEvmgXgiMxZ50HMzZgzCxqw
TSdnOt9xiYzuKFarYhHF8V08zXAhdT2g+i+bMOeXHfI4REYyx13QJGWP2TKE8nxZlrivA9OAwlNq
Ps2gwgQqKWGNBhWDUfgR2CMiULYNDZh7PS35eJO1tjg0BEeAOUVayzdOGXhH3IqMCcONb7DSZgxd
wzDDCS+FA0g988ZXE0rJoQNOCJBHtA/LhE7gntiFD2PxC35ThgNWChLsbN8Q3tfCXax13u2jfi5f
p7AUauORm/C0LBA7DiqsmuLAf8lg3TeKrjtyEs2Pqvan8mTawPEovjPTOZDObq4bQjhRVlk1P5ie
Ptu9410w57fLIwPeoTqOqZa4JsJ5CrzKkFdW2wp0dIl5r6BgF2vucZLvkmgtpXpRbNK5Tg7LZHnn
xPBmRhujQeLrJAlXdEFWLwFXSg/MaNsdltWQ2o7PqtxHFSWIuSjrHgmlGPZWr7MASZJ5hRnA31le
AlLdoJvQgdKTfKoWFRO7lZl8zkwDkm9N7SbvmGuMZ6vJhq8tqYrNrimV4rempgFDBx7RXLJnPwGa
JQaL5IN25+g2aq74FzB6SmONgyHfrqIpcjx4JGdF5gfO8VnRf0HmnDMFkBBH09bE6kkD4TQRyqkB
YqxRN+wCwi4fo25TkuStrsuiQqvtFWH2JOfI+kIs1wtMdgdxCGZ1PptCmEfGe+79yhkJ2L3PQWfq
+uT6BLlgoyKgBXoTI69VvP2Aw1bdZLnZD5u8cXN5zUisvAZP5CQHry6t17pDbjXhsUVSEgMEJ1Ay
g3GNDqalEcFBfk3jJ2+WWbYPOQK6ZstAdYru5TSEDUwNlc3LDOrF7VxCaBRz3fBMvMno3Sgvlf+t
p/49EwX7179c8dLTsePN/8RiMP/4o79VVL76jUxESckC8mD1nFJX/72iEhbIBWeVvZpIbtSq5PoZ
xoCa4e9Uvr9VU5b1G8g9m8aZi6x/9x+RGGz7FxmOJFfY9U3KPV6BtHgm/Lkcb8DYosqX9XltfQJL
ZSBih25vsRDFRE0Rc7L9yEApTEi5vUsbpzeeyWhKPpmPmiVgGaOp4BvkuR+HB5A/VvPE8zW78iI/
Tu46p2jecD+4X+3FKc4a9OdVNyZm4BtkT5DXFudnBknp3kn9IQBhUFySqjaIVdRVeU1IUrUc2Ose
UJYO22jRZrXPaf/9r0M8W97RExQGTVfPzuswTiQqzWAMiaZZEXGrK21noXUrtoRae/H70Bn6tW+y
Nj+WTZlG+6qFwXzpbKE7UF4wJtRqo4v1ROwQKR88HDTrd3fv1dlS3eCJ4u0yFmhcTFVzosJj1zr0
k7uclYSR40xUjPkp3ULftIO0J/DpxjOXkE1emHE/60085z1pJMx4BDTtYYC1h8ldio9xzNpx2aUa
eZHYEH9iQ7coeOriUembhZmW0xOnswHwZDBb7+C1Annxllrhv08qtcD7GxB7Q2KoTO2meHD7ckk+
yf2ZWzvddnk021hLyxhyj6mG6GCmU0iPl3erH4YlFxN4JlC+YVEqK5bl62pdG8ZwiJBJggl2egZd
rUCMJYvxXmajvXf8an53qyTdMe/LgIXNwNRKYqYGL08v8LGsQ4m35sSIFohHMWDkr4sSLcqQrWzV
aev2Ot3neYFVhALv1jZZ9g06mwJHRWmgOnudf0XETy9+eN/kYw5JyugoKDgmN4sxVLdZ4jynZR7d
W+Qe3Y16cO9hcg9fNe7KICJp5NxUerpfc4YBLJTxFyyz4R0VB+MNXRnmduz7YRsSKRWMMl4pGmn4
RVeTdUSob9yimFwhwgD69oPbWJfQCbODkUBdQp0FvfxLVTNEZSXEvtqRxSN0NiBoxDFEJDwltTUh
T2vcaYuLYzkVyPmcjd+1OcOIojuNSKMOY5ZGXyz8zVf+4jIOlOySnggRgefuVU2YQAlvsh9yVE62
sdyFAR29XbFLCVPYzDRhd5ApWGyM9hOwlICltLLQtU3uRTKKi3CaMEvFvtkPt8RtmldyIktcKQKE
ugQgFGZG1iU6c4ovTTsVBPm61bfR1C+yboZtl3nemU86p3iz1HZuK+96IUj0PgSyeS7AAj9FOGVf
e4Lj8nXtbH4kZSOujKUgyKquLfc8ZpO/V0n1ffDr8Cht/IrgsdBLgvTCqeX1r8JJspcZJtqLNXax
vbVrL0VBUPgBw6vwyNO/ORBLYrK1H7t9XDlXY5nAsvZATyfYKm4Lv7DP49T6+LBnwic3/K1xK7Hu
bhZ7QZZA7EB8V6wYFxLF6B7KiKn2IJEFatubmEV1jKwJeZ935dhXW7ZL+J9XLaHrZnobGQImfTti
tvcLaBC2+UWxGIOb1DzHS/OYVIb7Odllam7ocwRRGmyaCBGiOnpym0Rd5QQ2XkQHdN8B/8daLjr5
qnWvgR3W/DT69nHJvAy9qCg/nF54m2pcyjv6pOVbPZbM9CSt6QqOqa4iiNDPkcbZ4tTYLDeAvudg
WfzoWsF8/toB8kB5Fm0JiWVml4LJ3yZTc4a+Eb2DbY6/Z6PZb9uhvph9yJTZGadAD731CpYkPlqG
S+TTNI7zxZwofxV4nhbNHz4b1jeArCQxkPumlAb0EOHR8xD7Csikk1iQelKshjYmupO0UgGcOR+T
6Qi8ZnooR0VmB94A6xFom/ctHXOqtj5ecwtZ4/s7WHLzA9ULkV9DYb/3LPmuaENoxGgHOOf6Nbg0
kgUAQzaqLVNuRcLbmo44EyN047KRmDdRb5HxZ8HlYJaoT3gPiAGrZgk2S5o0JjH0cn+0y20npg/U
kcWDBAx+ioyQTpKachslYQsloPIP5HJNF9Sd2JNY3X+osrF/lIb6jKvavLBMaDvsRfnMugBKNr46
fuRGej1Cpr/2rRTCpijx8yTLhxbA2Jiiw++apudSNI9TTcAaiyzW9iEc2pjKdB9LGl8RL/59LVlv
Go7J9hvqaItBRd9kKWwa1cch+PFGvsS1DWkf4cWe3/tHAv3+oTbbkfYoK58il7mG1E11HhNo8iAV
7ezaLplA220xUN6K6GiM00xmTu50B0Xc3z3f3DxAeDDexWTHfNYTJFBgETKj7FHel8gJ1ZlXOAfm
WK2KA/IZgKPb+R1KDRs714yLpUAJK6jfA/ZY8QUCoLtxioL+qJ/6QEEY/Go2jQ6YNSO9dtO3rpXf
krpKt3Q/y2Vg3416px31nfJq/HltmQZEwZjb2ZraHxJfzg4LXv+YCAcHlCKAsoy8dK+8kgF0Y4SP
MKzbG0cgDRp9wgzmNm5uhyix5C5hkRJtlJkTUNho4zSSDxgrotyK8RuTjOyNaSxraczZn7nnyt28
gN7j2HtjIvS9SeP2ZBk87oWbAnix+afQdv3NzFT3CJ5PnASxNAHh0OYe06m8LJWRfPgJy5Iu08YB
/gIkpDbM7pMuswjbS+J91SX1qacg2fU1IhxLle3enai8DJj4oK404NMcLyYpv4QwdNIwAqyHHTaK
cthZjJ8+OnuMt7z2p7iP5LaftXMcB4sW0b5eFJzjQjE5YgJk7ktpf9Siuu97j9KBgIStShZwpsLY
zJbxipNk3mjwVPs4XagwMrEKCEoGv829K9oDw6vDQmIGI410DIQuHjwDjyUhadG+aNAL4LM3N05c
sLTVGqVRtubCY4LNDQO25TQeMqf3j2pOSMyz8ntc+HckzGmsfYLNS0ksNtBirLe9DNI4BRLVVWXQ
LVURqAjxAJwjeSgGa+EQdq1bo5tMljSG+9QpMz4uSUi6pS2/16ED5wG1ygbvW47ErrJ5kKWa54HV
34+m9D/ifCa4zuDrV7YGFsKhuHdQiPMwZnPL2IwZgV/1pylv/GNC6Aoat8U75918n8X2mwrd5//O
pv8dQ/qaumb+tC0I3rv3//FHF3bznn//3//zy/cmL4vu5+H03/7mb62UK38j9MvyHUtI01kt5P9o
pVyLLksxfXYUZAoJyvwfrZSyf+O/QKe9BuFhpHJ/Gk6bvzHnxiqnaKkwc6GB/Q/oPeuC5I+dz5pp
RIFKf8UEnFfIRfDFr//7TwsUTzJkJWQQn69HAZFrzRo6Yo370z35JzukX1ZImOolgmGSfz18GtyJ
X1q2sB9q0yqj8AjirpCbAdrehnV5+bbSOO5yh9CzbKnXbL+l+1cBduvn9fNb/P3ilEwYabhtLjf7
z29RE/w+WannHyPll+nebdoxGCbJdW1Y4QkP2/eIBSpj3iKGCLbM8ffJINVz5zSOBe9OUrj2ACy7
AVuiVRv1uU9LDaE2wWzMwomzc25gnkYRPKHWDR9Aj43BX9/Af/omXHp0uToG+CL9cgdFo+CbdYt/
rJfJ3E2qXPa5gfIodsf5ubYEPYFMiUU3crQbrBfWKGdM7nZJG4XCwl/56eZ0VzKZ3YiBHEHfB7gx
eGl2YhCesrgGJ5zHPfYCpkLoKnMguX/9Hn7Z1f3+OXhs6ejYEW6ztPvz59ASKNnP7ugfGYuPQSNQ
kTJAm0HxJj/++kq/7Fv+uJK3+mU99pYwG/98JZunK+lQXGmAP4ivlLVj53j1uems+l7YyET/+nq/
/Ih+v56PEpTxhuJL9mvWlinboqBE5HpR3NxzokBn7KN/ldb3T+6fYphL3JiHX9ZSv9w/v+G4QOzk
YT8i+dLjrlWWHx/T1nv667fze9DmT4fC+n5sUxKeyA8PcNivh0ISYeFDkOMdzUVmp8VtzZ32+c7M
aCEDhBgNybOstlkMdenDPNjepcoc+l94+Q8aJMpVbtv1fTOveeHOgACgkmuJPdB7HaOsggOWFVDg
+W4+k+NeYC5eBJKuKBkZIqiIi0yVMnfS46nZmk77MjpLfPzrN/mHF+BP79IToDy5naZLvKVvr16C
n46+0AyRdy3NdBwpvDY54Ycnl0DzE3PWdF8SJ7tBvPIDwI0R2ClVOl/e5Jjla3SMrLp9WjUE1qQx
moyuwNzCoP5Fsji7sSHdvrljnr/YtbNr5Gg+Slz4CHRJxUWFybDWFKm/10uMShjZBnKGwgxYHcwH
ZjwyGaI3jjMkMZ1t30a9ibMpLssrni76mFch5J/IiY90jTPlbZzvtImqu7VK74n6OTklBrmBhaw1
04so/NA8eLY5FKSTqpbhtiKZF9nF4qpL7tUZhQc1ajWYCkwEKykHbjiZoiggjikjpy8dO60M2xBY
rtm4tRmgfM5MaDaocrodQWjWwQ5V0jL2oPwFbegEhrso5nCWeKr6Nn8hAC39UUldkqUj/HnGigbU
eTOWwkISo6dX1yvSwM3NhlhnPzslczJdUFE7t4g7vKDzYuhPVh6Pt31XABpP1kT7ut2xCEq2Oky/
G6nhXRtFZlCDxdHOcJtzniOiJcmuZuzgrwCF4qYMqxBdZoFvMmrAIBjkLCF6Qe4YIkXKkmproQRl
00cHKXPrq60BNwE7YLmX5vmFhcf8bGRph74kF8uN7A36vBlpOyTQjLDHfLQOkCK8U8+C4b1h4HCX
cJ+KE4xOf1u7rfWUqj0zQr4RA6qVvras9xKX2T7VpoHVb8JZsm6Znou57bdlSjFK7Dast6mMjuPc
77W27s0w7wnIroYTGO95MxsTkqpGm594PXKwDLK6n5vsOg5tdHfjkDJAy9j/hWlDf9v120aIc2Wy
tBGRUsRjT9FjkUTXCJneNLEJR9114iGUy7xDi/ZCyBMLsaIIxqZNtkbi+F86O/T2VtPIizv1IwPE
1N+UwwKQVaCw6lctdDcIBKLEA3NEseiS+e9VfLnGC0T+IWVqs50NL/xqEK/Oi5nCPetotSVABUQb
6cS4LHgY4ZdYOuK7Is/B3jjGxPBGjnlo2ta4ssHpXzqD6LkGRNZ7AtKEKO7WRZE72x5jDTOpbpdS
8AnJVtZX8yzVSRdTdpRWLI5uyc/FQRzE7APPLwFnO/BoGquGRmzf6RDvQlJ8NIOKXtED9Z+O286v
1tCMZ1wEwykdUC8RtKsu9CVwTzsCAoDwDKcekT6io5SuP5tZx2xE4rbyRCiMuyDIrx1S2EUEqt9Y
pmc1iGJvCVJVREpvhX5UQYTHOutbmOakUxeXGLwgAVg5eklII5ek6Andip0JCXQl0sAp+/lgOHB/
61ak+zAZ5h8DsQDljZhB2ocVRcEy4NhoShNoEC1lEEc8OeQSehtT9NVODKO54x03Z9dhEzSSQQE+
TMxXkODal8Uf1a3JD/VmjiGABWnIVps+rRwQvZPjhQJgYRuaNB/aJVnCKWP3i46Bwhe2K58MQX2R
lZVGJTBSnQyUfCyDEM9EfsKrQ2xXb3oJx2wSTvqAFrZ+TRIrDVKxjAFRN9OdYVfzIUuldRohve0r
xiZfyq4lHYPl4eeCno18L8XZ0/Am64ryy8nK8LyAojnOs1XdWHoJz26Ln3NmxgVUxkIInbA02/nN
wDtncn67JikGdm+ZO/JJUCLYKrpd3CpsGSEt/I3pZ+1L5DhrcpbFK0l76IfD0PGWDGcNxGPIif4g
TbAM+dq+lRwM26UgSKHqzOUIXjfb+m4fnqlVbNa+jg+NPWvOg8P3VVp6/kENPHyJyeHeWaVZn1kB
DoxOcdkdJKv5AxNk+6prSuNh5gI6YAtNeUGcCi+b3fQbud5MDKBWdA8s4fknbLsPDYOclSopX4Vn
E+JFJIeL6vLQJiZ+cOpF68qeBIMjDgXZ9BaEuVrtK11PhJSbzhbjmkYBHupdWfRPMlwHz10Xg3ca
7R2B8DDjC/QTqY6GQ1MNsz5w+930o2Egoi9Nm9espGd4LqTdM+vq8kYgsCQgAdF5zkBGTXOLGsEz
lb6ZRnPKl9Pvj/f/iqn+pZjKtCgM///+zlsd/8neyU5u/YO/daue+M0m7xurpnBpDH/uVj31mydd
RnuUnxTxINL+b7eKi5NdIRnhkrp+bXL/IaWyvN9Q9ggSlZFF8efU4v9Btyp/rYFd1n4QbTlAoMWA
9vmllwtHI0JQYtunYRJAy8xkSR/0WlHaShFyMdugDa1k2Vcr/1qOU3hGqVt99Zn1PduFV31VzLRf
hFXwm544e366k/9Gm8urM0n3RejF4hSL6NqJ/lRR0nA1IW2HIjJHle9YUKe7mikUB+JEJVzH2Qwr
gVO5rYhx+hcttmVyk//c567oHoSQ9LoUtMr6pesJce9VLL3qE1v117wOLXBufeyj8YZ2GDiV7V5M
4RXoR2fHvZqUHz9zjsdv01Isn27f1gNujNk6R1nU7lICTg5d1mCVbOrSuXe1V2HqQxZ/Cse8u8gK
nx2yLYU9jYdWMuXEe6FHzW+1OYtq68pVx+LV9QzN1nUDEF0MoL1eG/XG6kgzGRLH/BpR+zHhYuex
kNF15bZqQVCR9Q8wLIt9OatiDWyymJ1GNQ3r1g91QpSJEi8GRdzOS92nnqUUqDumBwiunKq4adA5
7QxN+cODzxqOM2nj2xR8NwNuhFSI1scBNzwHJkhz7Gi5Oc2vJERAviN8SF7sERG/08zdC2I3d7Vh
ws/cCKmngVPZc44QQuf9yA7qMOE2xd+AiH2DSLV+QE6T3IsWYVjAEOX/sHcmy3EjW7b9IpTB0WMa
LSLYNyIpTWCkRKHvHYADX/8WlPeWSUEWWbpvWoPMtExTEkTnOH7O3mvjzK10Z1OhtGg3Xqwg6Pdm
m+wGU3kT9jbXuVWhFwErbRqGZbMVy3uBVmtbSnfsMSb5Oe5go5S3KmGMsBbmiOaeIBJ9V4iMbzjI
74w4T+gfAiBxNJtnpWoRyaCnB9qQxQzNUqTO3NZUs3BkGYa2yi1UV6NtPwH58Lax7ZTXBNmpXRch
4IMzTi671UpSMyNdAc3j675rJTTUKTe0PZLu6EcTG+CQCK+CVUbKBhld2ATc4nY2pgGActUDYEgh
wnm2dJ9jV9bBTMW89fNaBlPS0riQhiSUjvyqCbLgYCmCdEmP3sMYFmeh5qkj8rLwwUyNHmdiPNK+
d+341Rr14UpUQmHMKN3ilSD3rFoZM82qxk5wiyJcx3A7DbNtQiRrnXTpAN/FkZaal32W9Hx2IA84
451oQdxiZHBL1IuhGUJOTsmgEwwwZfajTJkteSvZpntDr8YfGYI7WlaEsWGWwpU86Bdd47dM55E4
1YFfDpZxhVSPwqOf6WPpZjo8OSph/8/srXqeNZOPbOj3TPJc0Wjye4lPhMghfM4YTyWpmVvZt6W2
RSU2oSAQbIihQUix7QdtTu4mLBSYG2mh9WsNIn3Ivqktok3bx1H9zfJHtuPZEli9gixcIjYcMz0A
Bx3zKaAaa+MxqREumNVzV9FoE+2U86grvTpMWZfdogJZFkPUdyuGmuVVOvfQJntS6taa4XO0djm3
KcbJ14YzWYcNJG9kBYPVPcqExKlVmwz89ipyZ+IKoE0n1Vh/7UK7+joOhk8shY18aQOyxkRnpvdK
Y0Cm+hc9bXv9IgVjo1/CGjNJviAS5rntcuKX0UnBg12WclK4uU7WIhMFbrJApjU5XKrEmJmNm1pS
rbPRnLNur5YdPYlCliWmZ7vvW70+MlPT+QfYe595Zo7f3kKTJ+ZxeCojlSfkwGh2+dxPEtPo1M7d
WdWSNNXgpRo2QzVU2m7sZZKuLEQj+8Yz8qupjAdioZfoLlwnqWLrERlXVlXxYiW4q65aO29I7ohI
eNh40zAQM+Gyb9QHWI7nBdOZlCVxJj3QKGrrUGKBwj7WtOz1gIiF/aZEr/FNG4A9Mw1vM3+do+oV
G+ICKHP7ePLYzDXu+JW5ZnUZO3gXN7CJqlWI/vkQGbQHMxw7L52QX0w1OofB91N7D8x5vOnJY8g3
GnNqLKix11gEksCjAS5J8rplpyHGJz27iM0hBEKJZeGcqKAW3EuvCJyLe/u7PZSMCom1oDwcsy2a
FW1e58KGDZCn1VkYD/F5j+uEOWyDg1Q1Xm1vPdWi6tNyefABZ7nEMIRwf/nOzJyyP20s0tNgWDeF
a6wdu+s8cDkGQthJ0hzal6M5sfoNTtpuWMeZDUa2tUOCQ4hDYXaP/1c4/m8mHVSBJtXW/1w4Xr4O
zz/+1Iz987/8twrf+i/gSBYdftpp/9SH/9aMLb3ef8vu4ezqrkkfHhE/EjOBIv/fQjGGHuBwaMvR
SQWw9He5BOK0INKX+AMOQ0OW8QuwnaVN/Fs5FktEmYz9zAt3SWiZQP0fJlNoLTyjfFEOgwmi0Vgd
HeE3glWhGQg1p/YZHS/f90bXkKWj98YTH8UMeFEOQgMSKcISA0+Mvelba3qAqT48ySViRi5hM3G9
5M74g0cGDYNTuUEATzJNv4TU9GaHSmwJrplbElLW3q88m2xesm0ITxl3SUHgDRKMgq3mkoLj1gTi
OD6/4qqOU5UhI68gamlMma+taXKdXay8MQqIjJ37jcpS/SVFB8I8eMqyH42rNVdJRKzMahwLdRWG
FVsuOoKcOypN4AgpcX3uoZpaa97NAov8vpuIptyYHQqqY+9FmLZiu1k0ByVMIgJhlHb0+AXh6IHS
p1/VFAVNKQ+quI8U+HZOs+GqWSJFUsBcmxFRE9qOJXEoHVs3wP5dNuuU2UWEu1qq69bridPDMaQI
MjIz44usiYycSRYP9Uo2QSjspAfeZESmu/ds0kuY3sAdBvtJpgJpeBm8+Us24EUpGMIM2sH6xxpV
//JJpY7llQTBJ/+YJbo6tzrzdsioOdtfjgrPTkiOBT47WH64XXgiPskNUVvsanQU9LMYmjmsN1qc
hlehmDRk1ThJR9QJ0iRDpukHV553ujbA3m90x60CvRsJbTHaOA83jdUNy4PDdxHOuj3viOuF4pVR
g4BvlbLHDHgppiKVZstXtkO9W8Bdp5wUTxHlvDF/JWtzKtsfcmwk+Qt2BiQ/vPm/Be9/s+AtE9QP
d8oXz0n5+vtg91//x7/WO8f5L9908O6ZCNq9PzSyzHwZN7pE+i4L3B8oJPe/kFQiS3JRGnimAe/o
36ufha7Wdl0bM5LAPYCV6W92yqcb5YXkaOr8nGXkihHyZKM8+Ty60CrmoAq3k4/a4ALr+W/L/zu7
3beHgJS+zKAXBxX41JNDhGOfa5FBxMgQmpSO3hJQCfGUS/rfH5n/4CjLb/HbIt5i1AERzlHc8lun
favUq7Q/Gd99diIn3wk3qSx2Ahyin5GR3EzJpplfPj4Lof8KiPtz3EQlh6fMoLWCUOnUqtiBdE+j
oWHMoZXtdyDm+rhNdBqwjERnIq6z/NbUi/Co5zQLEa72O9WZauukSuwnNYz7hIHTAzEJpsC/26Wb
Vro3hg3WAUmcgubQoovB9cL6LQHWChwgd4lu9CQeFH16P2XEYripm551zuCuvar+Vnj1JmXuv80r
MTCab9c2lEd9pfnCodJy4wtYQNMqa0ilddi5nTltnx5iPXfPdG92vmqFy6Yhpgt5oTeac5ZHC0RO
17ptrNnDmYyKnqGPkjlM+qw/7/1i/pKA5NvENcOi1G2+O0bhHsOkwOWt0X7oWMn3ltGdWyDxv4CN
tm7GEEmN1rv5tmLGcbAKmvZ5L6wdwJMGp1QtLjwd6RjEB7VShhpuMRfwQzJPnruwfbcVkq1pNUyd
uAhD5o9VCsonIrj2hob5+N2XxXQzzMTqrB1Sy9bukHK8ZH4dSyd8Ihir5cPn5/MXZ3RsczPO4rVt
FShYu7PkT23hYa9VmssHWgEQhpQjrRv8EPyg5QLbFkZ6doEoKyRZzNjPHL69oST/OzQxaSyMiZAw
5hqtqsgQB0l33eepdolu8lV2GorJSfY/0mVeMBuvfunbX5VhQyjptYSyg/QOfWq4JG3coDwardeZ
9GCftIpmDtJGV0B+am6CTf7KQ6/z8wrF70GUeXYsfLt7SLTJXdOKd88KejMXdTGGRPu2Yt+jbrsZ
cyP9ZW7b+G3dwmggGofCHK687fBd9EENUNtPOpFMOWZBe7KMYBawH+kys7VvUvRtBYPM1E6HO9KY
+juSBvjDmOZ5MLzEvsmjqVp86NmRmbfFLqvqt+xXrCvP53LSqBbhpmhrwo5YOy/lCB/pQLgIH+gc
p/lKNQnh7T1dt1to+dHNFCX63TInUYhSE/vKyGl8x1Gk7wFRhi/kOps+T4kWXhqjX9EWAs9FRIwo
6ZSEoXU1xXAqpoi+BDAp6zjVbXPeEDB/S57tcEA+7lyHmqntuzo2r11RROcUlbjzm/kGWyGFgbIH
PejjxjEOTUtyTN+rXEHmjMMXqfp8BSqVzBYT18EeXr3300oz76cWhaTjaN141lIuv8S+LrZR31iC
QEdP32okKK9CZotcj1DPnI2Y1Y+86biS3QChnS6AHjDowljj+cZ5jvXoXkezvA0n5D0czBZ7iMzt
3h6t8ckzwuEbydTxDcMFnckyOPhF8ggUAACPuSogkH8XWSePDeK0y54t5DODj/KiRNFwpYBN3Oe+
pHpkm8amvyH7ZDSoFBE9zlisWu+aTWv5zGRiRAEwqWuVxvJSdQ10euVOS+/EPstqs9yLxh7WlLjO
XY0zAhndRP8AfcOwRpTFARqxLF65EcqbdiY3fTXrIRa+klnMBrNDRTE26j+txJFkh+VVfIcEPCWL
3OkCMbAIgRzr9jwaRBDQs93VU90RujdGJMjUSbfhq2Jte91qznLkBWirqwZ7m1GEpEcSpEO1FcbO
JvVdiEZuOR/5baN7Q1TzEd9Ac2bTvoIjHBI7nDL6TyF4pf6B1jnkHMivpERG/sGGFLij21ltaz3S
9m2cJchFHUgTawKW5x1VgtzqU9setBZENvt6b9qFcagBM+6XLE2YFeshlFwHBZ1lZVDvXpd527xQ
EEqWsSG7YXDogYwBsidZBb7BMZgB27huII10eHX1ct4ZEUMgoxQlyZ8JTgRPS+vnLqvECxvsZb+A
E+ZnB7XzYUIEeeULHcT88seN0rHvitgC+KKiwkCf7o5XINMV6idiuJAPVdOWZ5iG+yQRYIsIHMuv
QyYQXCw0snTl+2lpApm51F+yTHaP8BS7zQAAHa1Ha2rbZEkpLZeMNqLpjVurVOHX1IqrhyEpCiyL
ZIDZ9hxuMZxhkNP0Yj02ur+mhQTTtuqf4cvLA8IjvKNRDzQF+LEeUGgTZTa1w6XPBD7G+Eq2Viv8
BByvGi6EBmoDP0KlgkrzJ4PWH2PG1jDZt+keNl2IHypbAfiRCILTmQg1Ylzbla6cOQDK4twJ1elP
shvmm8TquHX1kg9n1165d8dF9zLXPYclIDQ8qpkZLVM2YszcRruvE4cINhpwcuuZszinKQcMEaL/
D1/wpzMsIncFsK6zUICFj5wl2ahh7MHbr3l7qtH2YNZa9jD6ib8vy8a585tFUGq1/trDybyPliC9
dvnY0c+mw5W66npcQutMQepa5ZPXEoegVc12sp4FypRtWfOAI5wmdYQneg2QWm4LSy9fU77hB6PT
u/suI8eZBwlHaqxFUKZ7H+1AMawdsiPgLNXl3mNX9SQpSEnkAEEFmanEn9oVJQDoUFPXUmbzzazp
w+tQhtqXginrepZ0fTcekNd/7lMmVfhz0vllFQm4O92qxSURVNp9FGYsMrTej/hv+61mq+Rr2Xfe
jV8Naqfpvf1IzKr1OLSa9Qg+eLrkS8UOuYm1zQTdaqPVVhy47IIvsOu2txWsqS35z8VWy0z2gMtV
lzbez0Uid2Vk+k5HEc6Hr0vP0PcLEP5xtS77GYQeD+IOBwXglSYut6UPjKuYpLmtmwIOFjJtXmLX
n469MeVXoSeigyhicg5/PcuzJzDeahYIXHYoZ7OXqEtU0sv+k1BeYUmmEzZ73Su9SYuDMynnyQ/p
18lQt+yVl/Ax1GeL2z8380XWVTNp2CQKRijJgRJNWcwSSCJhrCUvGH7UJYvCdDCAIF657TzjdyKO
jpzVGsa3qmwbitmYbueeQB1XZD7RZuBC+8xNr8ws1nYMxrOj1Rf2GeIsdS3cUduGba2ukLTw6Xbj
Uu7dpsKZgznZRT4ASDRZeSL2t3ybhgNqdgbOodXVF6OEkrQu6brfE0Jb7noWHGqg0u3OhGXIqybC
Mdf2Dra5OJ+xm4j6iFR63JkGqeUrwF7afafrVbv2ioGK2TLhcaKaX+tRx6sJPIUOapfQqfCGZSgA
EGEvRZk/6D2PU1GjBUAvJ17QvkwXVtHgoRlH/QUzO8kkihzElYb0/RgDBdhi7TeOsxrnG5zW7tEZ
rWnrIfOEe4hjGebMUDerwnfoBMthGeaVpCbe6I7inScSkNCdkH+5x6SDV5ep1XDeSy1dh/zRa9Rm
y9Rrxl9E/9jaJ7o5HzCzAaBEqLic0ZUbK9RUvh1fCogA3bpPijtDEa1UITrdzvUvqX4FIta0J+Pb
BEMc6FzZ3JnDwqrJEu0sCofrvp6I4bXono+p9uo10t0Jq3wye5zreYrJh9PINrlesXLaUdfuPK8d
t/hxjH0YJuTyUpfQ6bHJ9QUo4W6pEONjPQPnk/F0bdRL671ziu+Am793s32ljM7cGWoslrqtOXix
a6zcObkfq3het54WBaxWEOOwqwsd2FkUFsA/M+9JK812LdNFAJR0TYihGydYZhIZpHvY/UqbHPvc
rTnfsiatl7A40FpkXV+oGshMGUdrPCfodZMcvh8zv34PYyL+FvWDHWRK5IuAF/gSGMXqrrYcY17l
kd50q8KIz+LUqa/pEtVPWpSRyGVMxddOq/vv9eA6d65gnIgPpM4O/TDNgPH8bG/lcR9oMfCpDUAe
CxNIO1+n8BjvaugL26HoXUalqiXhY3acrXJh64YtPLwcCM5uaDK25HqeHKMUk8hKyObFb+fiDDaQ
GcxZbvvtZqwic6x3Xq+y7KwrXyjvxVfllN6F8HuJ8MkAJDo0KUo2gsHG63DG1iKBIexTLe52ksba
xihAgKwylFg4Tlvu4kaF9otFauKIaXGeriwh05vSltWuT6b2q9NSX62UiI3LCYr31yyP3SOcjvIx
nFw0XU3Zmw/68oV0BLE8euzFgSrL/ixOPOsiLjr5WEpiUJRsxmNuR8MZZL7suySwG3GV4OZWvQyv
B7cufhSdq68hsVrPcGkrg1ekdo+CAIjzVsaQnTQ22IzySou9bmcBY9Ck9cVk7LfNQltkq2QY4stK
m16zwfWejMottwDrPDqkjI0gF6frdGDeTI038ymM4Sauek2NG2dqWcnSPA3SGpVNTUout5ev7XFi
V7GpYnNmOONtoq6e4YcU91qePKkSJyyqJZhR9L5BWE1sikX9SIIs/HXE3slKt1wUUjaVMVgVp7jH
o4REbc6NA54mSqltVExhhEsqq70eflc3akXAdsnRXieyM2GstfZBAEZ4kBo8Pvad3p5dzEjcQxJ+
yU1NnvNRzHGjtOmzEmb1JW2y5qnua+Xua82eBLMnOPv7obIhY2UZJY2FiP0Gm/dYwq9I1Dec0GCb
+nZMj4PRv+IhIiSD9s658r3yzKSy/V7WurOemHqTmJhdztXAWIYZG0qAjATwkVt1ng01dkO/qeWl
xTj4Etsi+WAMfzogveQftRiw1l2bGre8/z9kqeNN5Jvmr3oX0KcZShCKVddfZzpNBivKY3JaOpMP
F2YmwXDzpqvN6sUkKgtZ6fjNmtTdTC/e2rngVza0zMU+bWZW9loz17xq+R0hKqNcx3HT3to6Xuk1
4ktwyL2+mwe66DZPfKB5lbXHOYQEInNgL4A1cw9x4bM3TY3oxUY4Qo44YBbb1KIdQ3n3nq0O3xOc
Ad8W+toG9dkjDIfxTK9ho/FTjE2jGnlnJdYPN/fwbxHj9hLNIewNsjMTrtuUXvj+jI4TIdbKr4i9
bSLsjfRXuChm6D66Q2zdJwMI5LRPeGFh8q/GkpoKi5S/szV7L83YuGYP8sCCnF2penaOiAUYro3S
2dZ5GT5XfsYArh09+BBmermkjZUrG7LCygC7FqjObshEHsvbcu4iKlztpigKeZCAUG7CRHOuXTho
Gwc1xiXMXPOniLCfV+lYb1sGm8cQ/OsV+pX4nNAGCOl16kPMneZQ67/if1iFMZPXguV2O6AIIUJW
6Tdh2DtBPqImrgiU2CMLyO8kK+6qB+e79TGd7tu8v4/A+6yUqztHM6qmvRzbbzFYiiCF+bIeKQSP
LKQatAh/OKeUw5trFdElQoWM+rcqf/Zk9yYEHtQvZpMycPZkDyCJzn/2UiFc0M8ESSRniDjwJGuw
Y6yoM+57Q1PTGoiZ7V8meQv8ryobQIRmCxR315QKLasXt/4lmWX5fVn45aqwJ38fJ120qWlh3TtG
96oUaHR9plRpG7M9olj87jJoOdo5KA+KKjZJzYDUBDDcoUh8bH2dCDRGmkfef7QXhfNQkCFIBA7i
XqrCfEO743tnAOupcN9CRef7So57wNz12WULotL53G71G2ooh84ZbSKt98R3y8/HM6uyza3TmDRS
kHJcRaEIBl8Lf8bIHa9tXTNuOuX/bJSlPUS8el8Mw8XbaHcVagm/VeGmQ/eFCdmu9sRdIYZNALo7
MhoAi9AB+LgR+saaAUAQaZlDsM2i5HJPeq2Oyg1ocF4bjCgFV4NGMy5hfFQgdGQ/Xvyt5eTX0UiH
YSRJS2rJQP+9eexCo5c2SNRgqiJ7pXf8LSlctc2jOt98fGJvmsgcihEkqXCL/Iul789D6Z0D+FQJ
Tiz2ontFwB5+hkFc6PLTlLbFmPBnJ3k5lIsFBMI0Rzy5hlAv9QkgXxuUbdmfZ7lc6JmkF4Y8vAz4
VLGv4IT+bZOc81twGyZ9OGxjpwdlUiYMrUq6YMq4irAg+Uq3tOzYk34mZXubCMehDDgVYO11xzr1
OmUs/nNda21QTDGw4TyEmag1XnrIDDqaOe2P63oSdBDzOb7oc6U+kdItT8Xp9TVM7HA+URXMaE6e
mimy6hhRdhd4hUYDvuQEnWb88vHzsjwPpwdBw4f8lnG3zljgz+dFCT4X0sf1ICWtWxedU7KKXDO8
zA1k1TNj5NXQ+2pbtRTJHx/6vecHNaZtYLMTy6T+z0P7tqVEZJjt0iSZtrVpS7gLSyPY1fQceV5E
BTbFMtx+fNj3Xn1cS9Tm3FnEoIt+8bdJjtn5TgXUqw3cJiV7sxi+OD4tv8jhqfWRo/0HD6zJGqNb
yEQ9cWrKitpGF+ChOFwn7fvGaPZs/tW2CV39k1VGLBfszb1E9olTCgEgN/TPM/Pn+V/30pn78Xv3
69mcwv4HM26FqDAXF7SU9T3AJ/05DpdmEhys/+ChxaICBhOlLQ6uk/UH75+cx0hvA9ON8N+gI7yo
I5bYj+/he6sct3AZX+HjROT655laKrR6q2Dp+bUKDOkCS/cnBfkZB83Hh3rvLbR0jx6ISVceffGf
h8pUXw4T6qNgJDoFM3/1zfGqb/9/xzg5ncSWhsOHug2EIS9mgPqWV/wzXv8fM8refTh4/kgo41G0
3TcPB+76sTVkG9TUrhdRrxtHo0LiNw9j8gSwhkeyHPSrqDURauJXPHih+dmK9vbVMxeEq+nx/mEh
PZ09Wnbdm1rlN0EkEAvKSjrrUWTNea7h7YcgUX7yMXx77zge6YXooTESuqfvXsO2ygPB0gRFCbzW
cib0w8L9pJR4+yxij0ElZNPaNRY5+J8PiB8JObdZ3gSJJKgMTXWyruoBZjqzjI8fk3eOxElAwLUw
Ri58q5Mjoeidp8mrgkVQQtHSnZmTe1+36cPHx3nnNhFCCs2We8XK9Svd6LcV0qmJJvJbVCRzom/b
/FnDcJxm5Tppwk/yGI2331i0+r8d6mS5oEfloIXlUD3GHMDGVgRCyiUuGTcwaQNDOX+ZbOoxm/kH
2CuL7r7eNuFX5P8akWGG3KZMf/eIpDoGdCYN8MKas6PtpfVRmorspTGeL8KcfSCxHnB7IqZF7Ksk
4c/ooo7ukKvLserpYE+oEte02ZBFApX75EQt7PUnazNfcOZ6Oi8AZs/Tjx3JsZrplz3XtIvlo1+U
SG4G7xZWc/JcIHU99jl2vDYPv7YQ83ZuNtEzUSQo4dZKbCazYuF+GP2XgriLNQ6odVkVt/XoQSik
sURUZrPtUKAi7zddwEWpaRCzUyE+Hwz3CHqJ7DSrssh5w9YkpWdgWsvSDS089zyDGMUNRnupWK83
fjSuZzdSG4sz9LlaxgKuIYXxxQ3H8pOP1jvPmoEwDAUH3yxK/qVI+O1ZC0khpPqYuC6p1p0PYOAO
3HUVRIC9iQMKzTH4+OF+W/CYJppsDFSYJPCEnLyuTWUNA2EZoDM9aR3otxbbJmrluWPWco8OXp7H
tF7vrcSPPklufOf1pZqDWWegxXm752gjlGFx75QBba7paXBG8Q1ZqrhHgJi+/vVJIvBgNaLXwV+n
pSNzUfabU18GxdAyFRkEQzwmQR1syLI9OF0Gi7djwI4rwqBp//HB3zlP6ioTZz0aZyrokzKEVIqe
tlNJmjE5J/tmLO8jRNlrL53avy4DcKLzPrkojEgpPVVW0gPqokqkeWB43uNEwPvG8FTPW2Saf/2Y
Um4gmEIYxe5Dd07OqV5CcaKhz9EV9ONmdmi8munVONoODBjnx99eQEsH07FgDQVT5NPPVpTkdWnl
DadlF2YAJbSsmCEy0+lyM+s+uYZvX0AORmlDaWAz0D79fIFFwkPfF5yZZt3HpvbYzN6PVJn30eh8
UoMs7/Kf9SmHYlvqcGqs+fbJq1dA0iK1AyGGWecgeciGrOx85eYD+utyONKm/Kwaff+IPqUoCca8
dKefF6t2vWo5YiOGY+bXz9Uk7s0lvAgmPiDA3jj/+1tH4W3+qjo44nK1f1vO7I59hwzdLND6/oiD
MrCs7Cpx9E8O87awsXRbZ2toei7Vx2lDYfB0kkf50cGgGdq95pbWoVZ8ET8+mbdLJUcBzStYmfGT
naYYKg2jepqKLGhNOlp0etZ52v90S+cmbTCe9t6Mh6v6ZJU03n4pOSoLhwurE0rL6asWFrP02fZl
gW+jZB5zzKbrss7mC+UzpQfchd9h8nNjpVVWFq+Ja6gZe+nuXgIVPuTMkXcjZdE82YsTCv5UVNcU
B0tZQN6HfYYszvniG6MTRLKzP/nt370xnr9sfoTnW6c3BklCDPuSV5fudLlNJz8lPZo+58c35u0K
yyVCVwmrzYcacfrOFlbDZySq8gCLVo6deQj0TNx7rvysannnhbXJpUdV6eAjPH0AbDc3yxrqQgDX
zkTIEsYH5ehq9/HZvLcCgR6iDect4JJTjeic6oaKei1DPNTh6cACiCiml9uuy1+G1Pr7Kpo9o724
S10C7PTTHaqHWQgXFa/olIU/lmvXJs5N0YaPH5/Vey+Px9vuIsllY3D6GKsOmPhc8fJAwvKus0kw
YgvtHwxbql0b2d73Ma/TA93C7pNP1XtrHopYi7qaTtmbTQ+tUz02rQEIP34gWWrPcwqxNX2o0/mO
5fqTo733wLPtMXjY2Vm+aZLlnKPr1F0W1BGhZIVju5DDUm3z8cXEcvH208FFJILeEiYy55N11e8N
1du03AOvH/UHQj+rnYbieBWm5pAzm3PHL6nwqnVfSaT/U5ld2rlr7mMPTec81Q6D5ZTI0IZAsnz0
0GP0ffrZ7la8e+WxBC9vpglG66RIaMl6suGt8LVRFmMC2TwLuSRVmV4HIMl77BXdCbeOGWKUZvIA
j6A7hH71LUbRMTu1PNYjKCW6SD5JWMAj/Zjz+PhCvnMdmWlTgoLa8pf68M/vU+7yO8CFr4IRs209
C7nTa8SUkPb8anr++FjvXA7xS2OMDZkG8WkZY4hJ1y1PUtqH4odOw4EIBv25m/IygPudbmmVy08q
jHdeOiGY2FHR8MV609Yf2nxSbVRxeqn9FCeRtjZQ7TDHgGNvGlPzpWnHBQ5YDsHfn6sQdDHpSFEg
nq6UluYjN/S6KmCvdtk45CwRJIUH14lWRB08TJ4d/X3dxgGXNoABjIul7M87ybsyys5qqkDTidqe
xIAqoTTlzdj4RVAAAv7keO98czgeNRSoa/q1v97Q3yobosstLP1cWjVETC4syBt6UzUbE0Xsf3Io
H7429nGdPv+y5vx2qNq1ElmUbNGEX5XX2BjJdnKlc5b0QnyyfL33jJq8UIsPYen0n5SkA5K4kqhb
9ipFf9/H1attk17Ucf+SqLnxwA3/9eaIBQzThWETokxz5eS2CcWszejmMpgJ3Fzp7njbEp5X0wf4
5EDvLMy01HXbNOk8Y+NY7ufvF3EeUYCFbAFJm8VXq/ZAr+8/fugXnsJpQf/HMU5XZS3NUov83ABB
v1iRREJsrt3Zt0ZPGEaY40dPfqUljG296Zw0+lLhv0IsxKwWRkFG869HDQlgc11ZCgUcLPjt6E05
aDbZHmfLim8MHyR0OQ3hV0Ay5b7oEGexu53WyGDDQ2x7DCl0pa5t/MRYyRjf385+gdiqFIBrq6KD
gjw0oc8GSkVXKWGcO8SnyarMYJ3Gyo33ou2mQ24j0RzMuLgYyGsMvMy/T2BvrbnCkLbpFS3kIrcO
ECfiNxvnehv2sY1YOBvPK8tM1mMCkOvjy/ves8lX3BU8J/jATtdPp+kaOTk8m8iEnxsln8kavbJM
DcQ8+QtgT/+D146am2KP9j0DoZN3wY6nsiHJowwwhC89p8vRyA6jLD8pXt+2/Cx6pQy2qE0WSsfJ
YSyVxbDf/TJARH5T18niFPcgC39hCH2BIGXd28a3qC0/2TKZ7x+XLi1XlM31aUHm10VT1KNNTwSq
+FOsSPDwWku7weii51s0M+xxGrsItzIbmk0OIJLhNnErTkM6p43K305H7WDqvbYT0irXIcJQHrh6
z7yTCbafvthiYKOukAJmwHg2vhQOvRd33kQivAMuBTB5tptVJlMrW4FrjbYpv89G5vUrng9xnXr5
vK/V2OxwdPHfi9lex51MIbC6xkNj2p/divfWdAciJjkGtBnMxQP7+xqR6J1dlNlQBrp8njyQVdOo
7zMhh0+erPfWot+Oc1oYYbsv8sofy8Czc31d0m9Yg/jcfvy6vFfaOKa7MAOZtzmnTBa9wbXfWG0Z
MHTy1iAIVmzGH6ssRlPfTZ+Yzt49GP1K9iw+7rbTTYTTshiVeCLR3zkFO9F5P1j1DgUoWmr4RB+f
2XsLgUPbn68Flr03xS8QL9NJUVEFbdreGJ3rrMmifazy9lUmaBZi55Mr+QZvAxiT3QNb/qVNyoT/
5AM8Y1Hl+lKnpQqSezIb4ujNpG0b9OI3lanFgVU3C1rZN28TPSSMKMLUQEhCeeEthGlyy6cvLpYg
7BlhZM2fXI/3HlvuM/FktHXeci7B6XQaWJEiGJv61fSjB1Agd7mJjuTj6/7uccBpYnRBtPGmOOhI
Roxr9HgBO9Gabo58Lidt3FR9+8mH9L2yleYUog19+Zt78h6ao4+DA+1lIPGMxB0S17G8aSv7mHri
Kq+a+yL3P2lUvPcA/3bI04I1na0cjZ5eLFzzfdRXrz5gbGg0x7b6LLfQfO/5ZUfKkIzykb3wyb5I
jh7IR+UWLDPG9E3G9c8x8Re4F6m7tG+jNXFEybpgRd4mzeI10MSizGwR/flD92jRVHkMG68LegPH
Aq42fEaxbO+i2a82Xgn3sAg7b6fc0XvwbFZNKOodgimtU5s5W1qblfFTH8mVdyGfkw7/jeyrS6Q4
9VZS8iVw/lbFZCbbvpiMuxrRNR97w/7kaXrvKviLU5cWB8/t6QAWSEvXgQGg8qvnA2FGxDnp1iNc
+DN6piBMpvGTA753ixdnFkIZl2br6WWvUxFNDcVQkDS+hi6ub+vdzO53Y2K+D4GGoEn/+IX5f+yd
yZLcyLVtf+XanaMMgKPzwZ0A0UdmZN9xAksmSTj6vv36t8BSSUVSr8o010xWYmZkIBBw93P2Wet7
duKnCi+JGWyGJl8Xjpk/fdKRNiO38bL84OSLDNTYOw+WMlY332yfVZllz9/5f4lFcvL7uICnuuw5
75du2xHp22vjSHL9r/+of3Pd2WysI9CSwcBfjrzSmb28M0V2SGWEmA4cLC55to1zUrYvCVjlA7nI
z3/9msa/KWKSSqDqsz61odeaP66s0WQvVTjwjW6XkCirQLFNIFXs2hDBonQd4XOnkJy0s62MsBrM
9GSYvMBK89d/yMrO+HmLvs6Fr2xvjjnWz6VCnWiEk3dxztxyImiNrHMNsciWO7LVhX3myrjHLiGN
zIgVPuqMIrKh5fRRUZYPt6MY9d08h/qrsth4m92iv7ItLvZq5JZiYirdEeqzccOrrzNhbB7Zwxa2
mdqSFbY2DU62g3Jqdzup3t140dksU/GQimK64WvLEBqE/uVFeb08Zbr7pq8C+b++AP/u/dMBYwbd
XTv0PxeOKLclKEkE7z9LpwdFLO0wQUV6ibFx7P7zlyJ4TdaAaXSWjZ9WTZpOdZ2vy5IshdpUtbdO
801VepIqi17++rW+f24/f9PW6i9gZKqMxBh/vMEKzcn6MY85HAywUP2OhjHDXgtIUeTlw6ZwM+Ns
wB697Sa0tCC3ojuz02RgiazaV4XeHL//Qf8FHf4d6HC9s/702f1C5r98Hf/n8J5XrYqbr3/GOBC6
W3/yDz6/jp3MWOu21K24if+BrHHN36AMss/UuYdJsvyZdmj/RiOS2o90BVrg74zEfxBsLPM3Rkn5
5/SbvzdvxH/CcFjv2x9utZXhQHVkrZaznPy817U0Z4pqD3pIWsDzFQtne9OJ/mbp+OV7ur4IuTG6
uLzPX06FXTlolZQ8lvsU9wsCzWWjXAABjG922z9d/9vf//L/IRJ8y36za//vf385CPJSHEHhYVhs
FX5pr5Z5ONVJxFjihIrEj7M4PdNKD32jrHImcuLuQLJM20+LbTH5PJd/8/K/XE76NRDheR6t5Tuo
1z9+c81s8ewRTB/CjPER8MCLxxTwX7/D9Vf88ImtL2HTGpLwH37tPcAknHs9NOqDbYyPky2eGcCk
Nk63gLR4/fWvX4yW468vRzvXsy02yd93yz++IxRiljPJtj1Yo6hPgKqNivFOxG6pHeanbLCerHBE
UGNFdacz2lAmjGYxhNT4OcbgZtOWzOq5ZmRADEg8RpxGV+YB2DNZB1OWYUFvWwkL0KyNip2akn6T
SPNoJrn4bCbjPsIs9K2wVihb0+km08OyCrRZ9jn4iEJcVN3LjYDsvOn1eXqek7C5ip1ojKgJrxl0
i5Lpo2PzkI5nF/cwQaK7MCrtG7sr0ntn9QajdssJD3XRpR+ATUS5DCGh9RQFdBtvW4+mLPWi6z7R
EHrm+TcLSzHOuA9n8e6A5jIrTKTvVOnTpwgRDy+ROMyO8jtz5q83abXU+xR8YNBAWLPbZPzaKIke
M1E3lAa1DVL4ZouNp9+O5ehcJkQSgdSc8ASS6NnV0LUlQPaCusXUzkzSV+Fo8nGC/ruZjSS5LLKO
HjvHyujZpoEuhwjVX8TUwxgOhLyycJvok7rGnhf0ChMvAMDxbEcAkYExa91MhWZmjLxDjjft4tKV
j7U7eBtFKi4wvdi9qr4POhSVERo74I+N82ThrX9R6dDcFKXB7/GmyXykHTacsybuD+QEKA42DfPt
Zm2rM+yC5hrxtL1lfpCK2yi5RfI6ua1LhhiTkdGlYe7NHbBD/dkqIbKD45sCTcVm/9bDhcbVpM/G
lUZw6TFW9bItYoZlQye3NmAQWoawYwiRiwb6F21Wc4d6sbnNm/YqlLN4I/PQPVq9oHWjKePamIRD
ZpB7oV6gmUB8n/YFNHaVNjYzV/iDdokrpoPVxpJpyyjZa6Jq1oHe8hbm9sZs+/k6msqqDmSV6Ttm
neq30rEZJ4wd2MjAI+N9I63+HIeQmMJFoVV2W5zbosz9sKOYCkXyU9KnCLkc+4WS+8nKwxUTNt5V
c0qvC4aWNiTa3soLECetwyyaGlqy2tF4p4VMJ5krY9zQq+ww5wSd7KqFQP4dRq5HdnmTf0eU9xH5
d58pHf0O/uT83q4084wvzRXjnxroFFjnYpIK/zN8wk1CtWiXhgjzar3m1RDCMU4nNUagypWgHlaw
1KeVqu6lHRWylbQeheF4npIkAUUCh91ZieztymbP05ypQQu5rBX2kNtXhrtgiu20mGodBhMeLHFH
PtNzSII8RVLguOpdhOJFrmT4aGXE08rSD+YgPjHbeEVMMQLvgSLYcLnSghBfZ5U94AK48wtjaJtw
ZdHXTAUHkBautbauSDKE2aaoly8g3gH+EbgHDxtGwzHUop6tsH43Ab3vVvo9GTqgjaAz9kvKr+Ww
XD81hubmPJ5GjQ0fFP3eLMV7u5L1y5Wx3047gODi0bYrGRRG2hTHwh3a216rxDunB+8Yr8R+qK5Z
MA1Q/JXqwcXbnJcv4XfMv1iJ/6XhZVc8kJajMaHrq0z7rVkNAebqChg9fE6wh81Nq6srULZ7xQLg
5wOkRxiskDOz3Cgube4ds8F8SnPQOmZoFEHkNSeLeVhMeFq4CVd/AdPtlCIxGiyoDdzetN4hU1Tg
3ATGBqvNpW+vNgQeCc5NvBoSYD5lR2e1JgiP0TEq4+MrDl8m++OGV9Yl9gEUCHyBmOyZkm8y0bIX
zA/6Y+gu1p1YQFSIDGavgdECk4ediT32wG7rFNxfBlv1L/DetJt0dT9wfg5SuJXPtqKMO8sYRUTN
CBfT6hPUejIT22x1SfQLVolMxAgmxOqayEGEHEg3rCwY94MGLsPQg+Rzr1dPhZd4Li0f8EaFjcWi
Ma0Z/M4cH6jYIv9YbRf96r0o6UAf7A4XhhPT1oc+EH3y7G2++jKyWXH5V4eGwZNrY4LD2nGRskfh
oRqzdaPKAAin5oOFisNZnRxE9KxPE5L4i9M4y0uLuqP8LvFIwCtdemM1e6yOj261fVir9yNzuMlY
PL8VqxMkXO0gzuoJYX0cjwPT3ExDgvh0zp1BGYOoetb2v+8r/rvJ/7tNPj0RTvD/5IX9ssm/jlu2
3k38w/7+9x/6g2guf9MlAmOSkSQD2P3+Y4Mv7d/YjlIxYTv6Lzjl98MAbWzCPTSyxfrif8ApHeCU
7Laofxo6CQfK3P8ByJyY3497N44g9I/5ZhATFYQWflZiNWRP6x5IL8QNfaqZaoocHhvMSkOrqhxr
eMMU4V402y7vY4KIl4WDv197uQ5CQfbJ1oDC/5BA1Jj55kzpjQKfnDI4XSQM0zSgqWNx6ooesc2A
BnJje5OHcCWUlsIQMLo7AD3qPGRjeaVHaLP80syuKtWkt24pvH2uS7UP3dCFpJVZkGZynlSrfHi/
xKo5pjR1r/t2DnmEtUoLBABdNpWjZ54BRTsvqDJ5UCN1SYLJZUZEqB4GpGZ2h6Eow3vaBezFYiqg
x36Fwizlu5tmJKpTVhm/mbxuyz+ItuPgTCx7k3MzhpMXrc8E2hgKG/3RmEPrkDLO+jGiHP3mVrG8
EUnhHUugAl+jyQzrQCGBuo2ZpWaMVjT3FqLxU5K662R5msx5AGH6a6Kz8MKnWvwqY2ABhl3kXCK9
iM5MgGsfhUNE2Teq0rxoS10c57h+HeRU3ycjdvtUecOTqrruQcpu4gyjLc1n5HvRa6OlgHt7G18h
pKykJ2cpF2SgBXzo1I19U48bmqgydQPTNJr3ep7GPjCt8YXaFk+0vsg+Z7DSDmiXOqgNcfyx6H12
FevNDQhc+5Q2XXWCx7ycqzCjzmezi3EnrzU3YOBmNB1s2ho+1Ch9BRNTK5+r1PPbqM3uzFZk59kA
bMQG2eGNsvBQlQz7KyO2NWhdutpPLM+PZWGpl7SLFR3joiLYPk9luSVrBLJFC23oAspcg7ExNyC8
K6u/7i3y6oSBdJFC1xlwuywcDqB86S3j4wVKTfB1WO3lNH6LAXw3Aerigq5w1tKBS1RxGzv25Fv1
7F5FsMI39gIiwWy8/LoCoHFl0qqegzQf0UXR63Bn1ChV9MyaZmIq7iPrM35MSM9pZTusZyzHZUWt
ncpv5G4GmEwcHgoE9bkt76IQrPDIWEKlGLlW87BxGpuhYDl8FK5Ij3qDLHZMNE1tBvaVewtb0ZlR
L6bLE9kVT7JMwlctdyLtFDJelmwZXja+1KPe9mxnxv5+APIcsn1OjbdOZiELf1H3d0Zf1J+aWTfZ
oo7Ge9oIzMXD3M337cgg+cES4Jv9xpNkWkxMSzIXE2OWnVKx34eGeBaDDohWV9bn3qlpphoWN20A
3IXwY1R4nxJXd6+BU8w6ajf66cuQllowJ27ISVAhF2GWvS13nirydztS8gnB6GdNHyscAY24hkIw
f7WrZq65J4yy2IZeWLwmUd8azJknHQSurGjeOpeWn88iWTGwVHabXBtwWbJKyytlTt0GWsed0VIZ
ZTCC73PDcS0AXW1tvaxagO67jr8Ma+LQquKNBat+uxDcOgGlck+23rrBIjiTch2sZF+in05gtjKi
qCFQ2A+ZFd+bA/PxZaynmEhlF1pby230N5P+1HaxeKIOpo6xQBZ5jPukq7JjNIv6Avp6xbCVortv
PJK8fujmyUsaJ4gKaqNDybvgP0ehMBVe4Glj9WlwwcAdLI02CNgpDm+2Prc3VttoH6XtAp4B4jLc
zvXMbRBJqFJMgMjGp8U3EJWDyOWM8/i1ztT4hs/AuBZtHObbboSgteJbYIPIUNQ3apZhuvHMKt/g
CB5OvdtJHU5K9RClbbUhGAEezmlo12RpvXEK92TB3NogiydCptoM1VMcHpOUx2ZpWPV+0vPHqLD7
fduMWANoRg8+JhxiIFo6I5jvBmdb69PyZREDEZDBcGo6jH2+1Us1mH6mwwuddCMb+jOReIc8Dsmj
Kn5ZtIj+5OxaRaq/enPq4JFWjTC67rUHIpTchFPI8UImzo2RjCFg4ay5d/JMvwfXHN3yWJz2rpcu
xyEan22rKO5rein3vdGGMNLjJHweGwdIjQYc2AcWNJ7UHKXPeCsAgre0Ke5BIBW3ej/ltzR7aswF
+Wo4TK2LjPI2wEZlbhO7YatpsOQFUz7Hl96U/Y5SWp1sRJvnlwTu2mvvpCQK2kxxYYBz8lWX5OBJ
pThXtcGfv0ydeQ2JKSQFtXThA5gX5wjuYoRcoDFZqYZQfRWo7m8KjiyQyrS6hNIxhxdZVtXDwj1+
jHjjH1VcL0dYZPZ+6mqwnmG9fEpprhE+rCG0RkY27xILYsdkdMxedWQl087medTHxnKm9g+qAh98
gKH6ts56+NW1KW7CMmstHrJpeD8uIcfVxLxuOC4BqVosl+9aX97i5In36/V8hAVhXMlkYdTR0lwQ
Gg17+3QYxNY0RziMclFfws6KATNro+Y39VTxOno3n+bFne/MtBn3cpbyOBh9+9yEZX47GPZw4Pvk
zD7zVbCIKqpHfEQRHmvG5fQNGgk1Br2Q9d0I2hQkRiJAlFGgQzzBITmpM+uGkZXwenHldGxZGDFg
UzUvpPehl7H8MFphwuSAYfEa95n6pI9hemxLrFuFUJpHyYVHDbefYpG2MmEH61jiLh6S9JZ85/ip
ct1xkxIHeTPLGKrXDO6rU+tDk86vGe8XBkkwjmBWLB+KWb7GJsyj7QDZpjqTAlo1uziKFJyRUb7F
Wpg+2IZs61unQc/NpK3EdwbiJ7WDPDFq/YoZhJh1TBqFXkOvV3GFCkpy5UtzmR+aOtqsx+t5J5Tj
7irpuIEq4IwGCcWDBRFpcu4aCCaHvtPUq81kdsxhla94MAMks7fNuIBX8VMHK7dzbRjTNMCbidJY
70/csmaTMldXOBqppXB5Y+87vaTUFD6SYTKfZde7j0YdVRBE4se6cOdtLur86NYt4dh+yKkTTPdO
trzxAASrqN6Tznlz+7H/LMqWHYTVkKVs7f4NuVtycFwvu62NbAuVQ7viw4Gh14BJKtKu/iYWPAF+
V9UrhK/mhIo4PM4OTTl3d8Jm6jzoe0vVftXIKHr0nL7Z5uTy7tTCfof51NGmRPH9XPDfI9TfHaE4
9RAf/P8foW6/FjAes+G9iMkZ/+42Xt3AdC/XH/yjTWLR2TABgXBe4nnM//rnSeq7M4oALlkmUmVU
1jk0/Qv2z39aif4mISeawbQE/jhPyd9okZCWNZjNZ/bgPztP/R7r/6H0zmjh2nVhKIcCP02TH2vh
GSaIJa/0+WC7RTpveqPEwmNno7iY4VTKrTQTQwR5TnlkN3ZOLX2zhbuJkx2Y30I8GZtkptOoq9su
A6ksbQcdJCN1m0Z+VEMX3oyOM5/z2dA3VtxPhr/klGHXsEO7BeRlMZyWmRX0txYbj0v2vfNNBTRj
2yRq2Wt8u58JPDanOanBusEmJ122LE8hW9qYh5erto3Uq2SryrxmzW8m0mG1rL2NMekuswQCp2Vq
lKSqSrqto48wPd1AWA43vSoOMaC1r5phRB8jO+7riZ95tecy6TdSk9aVyrMwoTzX6mgFhGxhqNmR
uS210b6VXpSdByGTm7hU3fUwttreCJMFhB1ydJ9g/0QuJkwpvUI0CWwuCnSzsfe1xoHAl+cSfkMV
6v6Q2eLJa7jMFOfSFdOm9BMnqH5b0CY/mGYdbU3JlYeZZJxGEhK3nSYcAKlLfocOuLxNSKfeqBA9
BGmTtDjRoQMm7C2Qekfl7sCG6F2wHgbYaUf6FgUCLKqGKn7CCUh/IdPZXfWl9draUffAVEvhAaUM
JTUZLYkqP6cKvy8aMGZTlppAl9aTLuDRKRiWMLymvE3dXuhpwBTlwtI/tPeuA3Jv6zihfRIauNlW
c4otBIR7d7hdfQabdmSzZUX6rdVTrYK0ZYoLG7j+zZir6Klh834ztIkdyJzGA4yiwM5TzXcVkGq6
8dlJZqsUr0qKO1Zb65rS10s8WvC30VNuZqefdwXOhoe5t+uto9lkrwCg6qXRBWmaJPdhX+s3vda6
m3CyxiPSmX2a4NnJYRsGqtfLTbiULL1yKMNDIkN71zt5+k2O44cRSm1XWuSifcIgxj03Oc/3aaqP
7WLk/pJJsTVomW1SgBPsOO27krstIO5xppyt/Nyrsb2q9nXJY9snZ6TtlOkYvk3u4zC2yg6inu2y
0RsxvSilvRJdiY5Vpup7G7D49WzZ8uR6bb2BWUcVw5iGgHi7uoih5r7hth39yZnNfYV8yO8LFW8S
3QrToHJ6nDI4Z+7nsbNRccZWGe0dK58j48nDLBnv6LuNqxrLWCynxx+qIuXdj9CHgFPPmvT6B9NM
7fHBbkmSWGyoUmU8Gxb3wla3kxjSue7edZ4K1ctkLRg4e6Zdxa6Q5Xqc5YTN6w/xhS6l+SKhUekA
FQ3OcVBXFQ0jo9TsV5b6IjmOpakwD5VLwrtJIHcWe1yOzfAwMEg4PnS/i6mi75aqVOhD8gYkt1mK
Dce2AjOIslszYJBGLpxCUZVtuM2i6C034gg4gDIAW6VamXN7juWsb6d5MSLlG/HE2/eYx4s2GWUR
b1vnoksjZNie9daXeHA/3FQaqfPGNZL9AFS9K0/4ogTH7yJMmeGnc5NrB440ccwdosPueyxSDoeB
XkOXIZPSmBj4NGP6vU/735X671Zqpo7/pthZFF/bsvtxmf79p/5V7bQ8lkHbtpAxrpmGfy7T0v3N
FGuQwWNKh7C586dlWv7GtAcmbGuN8JoEGP65TFvitxUyZX9naDH6SLH0Pyh7MpXz0+iCTi2R3IxL
oJY/kLHnn5JqdIMlbbFCPxe6VtIgpodAn3UyihCOhzFVW2qLXenPYoA4P1HugW1WdQLkWuZC7MRQ
5lecM68nCoCSPiFt3JdpySzr2ZBMaW/G1vgceWb0lE+9G8QRXbzBsrprKHfd7VpEDWmkJuxkSwgM
19HI/wmIcpLVXksUE7ccWs5ugsUsnzgWYYz/rI1WOJ/1tp48H3hodzUk0iqeRBr27lULhVeH2e+M
VD+sXKywfsbtC7Od4BDyXJAJ4b+5pa6QtvNGNLoIlCv6NwalRjX57Lu161TENg6ghkGHXcpn+0BO
MMfTaBZlSlYtjJ8MRTkmUgyPBU2cDM7RIjX2xW3K+sGxevPYup3am1MCF17OW0jucdDqNd6yYTDN
fWLGj3Mq0luHIlBy4J+Iayo3Yb7pJhGDtmbqw29Iumw7Q3ufUlQKnp7k47FpXW09wYhtTSmdZdKD
wbgot7apsWjtvaFn9vUg7WnLydU1jr2UdXnuFhk+sztyHyrXDh+bbja9YxN2QtskbWVnZw6ulNZo
HSavw9go5k9MN0iZH+AaVINfwwk8ObLMzl3lci37HDaW6bRsMdKZBnnXd5EXaFGlUNE6y31dRFas
70Pg44eUnrffNWQ6zW4kajjyJHWxsGGQC+tk581heLDK3HytFjGzyLXa8igzN7P8LhrdmDqP7mXP
jJT1xVPE3JKrb/vCMidtC3qPqMXe7BOKmUcV2SgHc2zksfEetZzL+OTg6trMM2zzFkdUXVkXaNrj
dtJD2LSyMI7xsEDFDJ2tVEQC0rRk0xlTqvAtTEoBzMeOnGBHN3SFlnBcts1xm0GUBBniMWutuY8p
3qncNo9R31yzzgKoHDEpxiUCuaWm3gycdsIh4qbFrnDS9oni5d3EQIjf8DK7iJIG/YD5zdBH4PNu
TOd4mB904J2UbxkMWJw6uapzTT9WtpXuOuqaJ0mW0E9bo922eJDAvEwxQOis3I1eGZ+1bF6Oes1X
02T7+wRK/VPBEhOQC3B9yP9aYIFp3CHB7LoToxDJsY3Hz03ZZCfKjtEZVFBPyS2Hd1PNe1jsQWtV
/c5aKq6PVm9Ygqib1hrNj8pIFGho9dVe6ld3Mmh0hGXFmIi+UG1rUi9g6hEtdT9Hq3GVMYSYIZE6
WR66WKOnyYGAoqCN6K5JjFv++uSc2LPW+CH6qaMhRP+VHsCMqlNwcfiyHWokgKlbCUjIS3co6/pY
jPZDLbJ75BVXixHuZdPTPjCXx9jhJK63bGii8b6V8bGg/rPxdPrlCVc/ghvjkcdp63rvzdN1AoYS
LyKpjqbKAOmHC0390Hp2BOdfEKDtxsizr5mlN3CdRzQEIIcfYo2Yf20YFO/YeNedzUMw9q6tiiJk
koMaIyNp+IxOWHcg74ttPjVF4Mph5N6qSB3zeTgQeyiSadRbD16TfVDbQUwLKO4EuhoWTkMcC/ZL
clGySw69R56Sb4VxF6n6bgDxqnm8qaUsLhN12fdsfZqlfUj4xUsQs1eVad3HZu2cyqpDr2pgD60Y
VniDk/6KF4Zdhjl9Y+trHCIXy30b15nP+DtDZVooT/0ci23LY/2OOmzlR4sjj2ni3odOczcOnQ4I
3PXOZaKNbgCOvnvhudJvzMENB78SXXKhoTAE+Ni7vc4HtdPLur8gC1T3YpokxTH9fiFVA88fxHNk
oqCR/c085eywKW8wI+zSpmnvW4h/XCH6ZL2e7FCSC/680npXVnxJhWJ1qAH2pAZ8l6R7zIrU2Zn5
Ej6M6XhdaXUTUMZLnlwtebIjyW5RG97bRb46Ecmp3na4j/uK0bZsonsy7hh5XGt3e86nIVexti4m
HtP96DUfBVjarY2Ucs3vP1bQLVYPKUn6nCr+2abTcFGGuO9ldZW16plK7OKTcqOCS9uJJy3nBbn6
QdtAWHaQrs/SSvNuvVbs2ziZ7ic+OsQFA2OsPEa9T2kYGa8ZhDtU3S5fNc0icOgO1+48bKFWs1c3
u5091CaFaErz9UBhE7FpqYJ0zrx9NvXLUZXdgUT5aYjDdN9lehxEUluzUdqOxQwzeihd9qUWlcIS
lNwHhPSOBzaskMu86NadyunsLG5TX2d9TNdiHHBnJLb6DGbDCkazv5rimjVhzJ4MazgU4PzlsLCw
JlJuzaZ7wPRzqWM3/xg4QLM/f004im4H3o8zpWWK5dKNz8O8elBzY2dx2DSDCL/EZYIsPiD9qKtN
vyjjbMd2tJs1MfttH4m3sOwrBE0GjHCtQQaBfJgn05CL4jbSBnJOZaOcoGNdq2IGruYSDj1BxGpX
9FV/ZUZFGMSmiS+212M/FNqT0sZ1eR5pSeGE1zz7MupMm2l0V270qBrAQM2ZFaElXZL+vkg07yjb
dDlNg3iysF9/5hABUj3M0d3s8HKI1bFhMEBrWeU8HFhnze3QyQ8aM7eGcuOgs8buvrWL27HQtKBO
IQHPwH1TQtktTagdrNnyRGHxxWsZScENeGJz320N3t7GLLL6E49X6zDSeX1PFqPZjozOHEF9UW4v
B7V3OBb5HqR0MkMWb7Yd3ijutdtC97RrCMTpcyU7EnhD633jABdteiyDvq1E9l567vzgjhqlzd57
E6ldBbmXu8+Y82IajY4emK5KHouo0InO6WuQn6C8EFNJ+2j9EvGBJb4gnEeRP+aBLPnzoqbNt3ny
pWrSz7OuufcSVe+LaJE8yl5d6MPaZNlYsmlhGXngxcxZB0vVWH6lN9m5XZbykFCmZI9QRNeGmR26
lMOnBhNs2/eyvPdyCho8blV/B3rZOyyuU79oizxA9pweh5bRA3wjqDjkksZXRdd9qVPvg6dztqul
I/FHhv1TjPPYKYSkaNzMG3vU4m1YOSwQDOpsmJ6gMQnHswi0MjEvhWDgFZRKfUUODYh9185XHPTl
YSyNaeOq+iOLoBXhHIqN26oajAcekO20Fb3A+uJ0SKvpYkbtzsI0yeLVasVbTTz4HGGm2mXsBZ/1
kTZbUHqZR3DImsVDroTxuchs5zMkeBwkyypOCandakbGhoHoHmUZHpYLQQc2wMPJ7ReNcq++KYR5
E3JQQZg5UnTBrEAhJmfnESgvHiLM26GRj+rcEDslczNEDwDwu8a4ZqMVkK57buRydMzxSxk6zr41
wOQjivXzrpq2yJ6cY1iUKGkmW2K11vd8cic7sdAtxEO1yQiv+ZPVfxo64gsmDC7cAaGgIlhiNA5r
1sC0PCirqPw5pFRXeUZ2EB0NINUkw6lAzhY24pKoRDzFFmRI3OreOVZ5eU7w+DJoKh/mRe2yAew4
ExsWWbLPVMHZNCVhCRwvfDIQSfpZbW5CzRIbR1XMYtuN70HNPDXOXGzdmgmpgnsvb6bWZ77BCEqt
qIIYZbeHlItHCoUVWJ80qGpozEuqPo0SYhqb/B0GNrJmsnqayqLcAuqi2hHnZxB68wYiRw6dnO1h
1mmU8CK3Yl3MymNZWvcS1sXeicRHVvRPZTXbN5qDvirnrGLSddpNY2EFTUUH1yJHICq7udYahHLN
opnP8DiBj1Pze5o6SOsQrVnuZmCmVD80X5ALSxDtpL6ZlKDi8b3ldTXtypZ9XUzY+EvaGNQzXTQw
MXc65Rh/1hnsdiYvfHKN7KpWvYXBXXZBXxff2AC3eMzbrZEsZaA0Wo2TNdxMqlUMVPX5U2MlEMAt
YqG1VUhCI2x4zNoDX6sl2XUa8YCZxzTfSbrPF8cLP+ttw3wwfL+9GtPpjpiBtpOtYwTMT7HzMSp5
Qw32UpA9vJg6LbcSWcLSNqmvLH2+mIk8aQTaoIaUgrDaMPiudMcrIj5fSs4cmaG9md7yHlWkD4y2
v+KoO3Mx0t2YLcfQS4ftomn7TH2jgQiXxmn1K6NNqkOdNrcABBG4Kx6RaKCCHnP1rqo44g5mI/ai
G/ZmSb1ZJMmZijqLaKKf9NR7sl3FUFO8vE9u/xH20eeyTLl/SnHXd9duGT7REaV+NRXRJ00zoUdZ
2ZEu1RJEwr1apPeKvpUat6RwyALpo/ipLmFIs1UrdOPKsohqjuzQtDbRg65HsIK5LdIvaVhiml+0
W0IIg4fUdFpYFpKQt8tqUPu6Vqkds83tseEO/jQ39EpTOosixGutBMV3f7QyJp6Vnb9lJNNLxpqM
HHyMydzqVIqMTV7ZuBtTNQXc8zU7pE01SBEn3SexFhEdMRtdBWXaVW/maMTBNA42B52qfhp73NMo
IoYjO+v0KNHU7C1ZWLtqXqLzqPfODnT2I8JvJK6lvKEgmNwWsWZ8s+O2Py8qdk6VgFJuotI99WU4
7+zRah6tYmbwsTHfOccn12lhcciP9JtliYhwtGV0JSZXBD1DAtcGZOttvcB/EOXkbRJUCjsCKNqu
k663aeKITUBR7IdCWJtoIumeIwdAf9KtmPlZ8wsBE9YC/eVUCU1afLI3jtE5jFPNn728lz7t5Xc3
yrhibGyxs9GVBwJ+hKdAv3ocLkZesrVolfv/2Duv3TqSLU2/yrxAFjLSJzAYYLYl9yYpiqJYkm4S
lEtvItLH088XlOq0RFVRUwPMXaPRfVpHFNOFWfGv37Afxx9i2ybWEsUcXGIa3lbnN5RCSu9m4OJ9
H9OnZe6kxAcwXOv5gHwLITwpNO2yFIestatLasfLsG6KbVXV08HIsfas6NCya7/ZV2V+LLBJ4EBF
M7+wvCPHYVAXdyneT2VMsEHi2eU12zU70cyJ4QaxwBm1aLTp8LLYOWTzETtUb62JI0grHHkO197e
BGmVX/QlOSBKke9Dfph9Hko5nPrW/Sr1eI0jGZFjnC8cnd8IVvc90X31LdnyZ92aaIq4hExaVfOW
vrYwue3DrpSRdZ694jZ3CDUr2/o6DcKHNor7IzU22ofOcA2W5dAI+4iR6UTKAAqcDqeGwwhZdGtF
o7PJ8+GLbrvXQTtcrx2pScrw4VJ3D9JggmTcZltbNa3mIePxKiAbt9/a2cKq7NvJBapMvCHLzqdw
WU8zM3ULBRnq7jiwRmKrgX/a9HEKi4956GNOJG+XoV0u836FHyblmSX6Aaljc/DGZc9xi5EsIMgM
Uz9vmA32jRajc4yWGShFs/F6g3upOnG3FhbUW+g2U1DCyxVNzGFHN39K9EZ0a+c5OjiVuGftvHOI
QuSJpmFfPsUwRfM2VRwJB8tG8tZtoARxUE1yOBoIY2BPNx+boY1fF6nFh4z8o5wlFPbF1W8j4d3i
GEcgdiccSBj2Yejxr/HIM0Gm2foWTHfYXBxyivsaXkUk5E2vnXMZBY90HMl7fIReS3hQ9FVNWLTa
ERg8Rl9kINbxThbNVhRdsdNy+grzqNxWVvkhQ1Owl55jzIGtbelAmUcDBF6iizjdNQ14QCY0pUuR
IEwublXGAr3tRxUs245El1f1ODkni7q+2ywpxnfzxMF8kqvih9jJu6msN/Ts5L7pl0btMrhRswzO
XS3O8J22RLcS5b2U1XgAyUnxWRyJZtEipOMhVjleYV+A5XTvVPGGBpm6zCuZ3EasasOm7YXyySAk
vywi5lIHw73lBXV/qKPeWg/wC2e1dUUG3BZwTlhZPpwxh0YSC+lsGt6Rn3TgDqO12lcj6qGPfUnq
53CVQGAAtfj/010/fmlvHusv/f80zYBPFBesc9nwv37+Y//tz+mX1tB9f/rD/inY+fX4Ra13X3ri
wf7Cos1P/t/+5fce92/QeKR9Ahj8n/vmb0gryv7H7rF8Bsh//4ffAfk4+AP/eVx2I0B0hFrGd+g7
Axk/sD/YBCIO39/pyf/VN/f/ePLOBMqHaGxA97/a5igMPRxisHk3Xhu2UbH99Q6+K/B4ff9oTo70
8TkNmV/h2DYdc/r3No6uP7fNY7tvhiSR1tmDIPYaqVkNsksWUV3pch8a51pbT84ddtHTkQwdvRfT
SsyliEg8B78EVg7qs9sTeyLkEF1ARWEPTgrmI/IjpCdBk0FmSu/SzoVNz3afeKrael7zMI/l7exQ
r0NZA28pHbpWzBjy4r0Y0qORHXglIhXpVc6boQGhAV4ytMC0vvHmqb/n1JRtAL693Tqq6rNtjZs1
ct8yk79iKSw3RGi+XuN1uCuQ8rAUsTxRPY31XV7oEYQqQpcTZpCuF1kTnATyBszWLFfrHISXNTEa
+6LQA0qNJGaxGl2cmlsd7FJe540K8OikgGHFn5YF+WK4SDejmG1WbJGUvbc7zsCdL/0rW0UXVeXc
dTYwrDvE4rouxblJlnpXLPG4SaPB2ZcZ8hcpo+Qw2F29ZcC0e4iqaiPTEqb0TIYPeWhbPlZ91gPQ
bOhb4akmaJRMOUCc0aN1sDiwFonkQvtIl35J9wRkvJF+I3fzmj3Eq3DezrUfXGKSN71vBIenjDTW
nb26bXLTqdWxSYJGPwIHAjGWfSal0dVvGuWW5bjP5zayPpXVImhKttVoaTrJfaFozLa93to+/s6c
GAc5QAIt1jvpNhGMvNgGOY8oA9gdJzkfawq/Cyf0IQHWTdNscsE6u9TNcGeFA+vemlt1NnDW6d0J
SD73r8JScaIX4BEkNWrOFoRJ1dWmGL3yxgIx7Ih2BPxM9bHtlFao2YoqtzJi8EhcoqjgF/VhvO3A
g3RzCpNmCNT71kn8O6UJCS43MelYGGptFNHJxfw6Gcr62EgwifSVG2oQmgMBfvaoj4DSariL2YDX
4C1FZG+/saY1gJiOC11Vx1snhY/hHHB3j5acGwhauP3Xc96snTwQ2NvQ7aps8WcbdcvrmVUdHX7R
SOfg5KIgTM/C+xsTDPzArRHl5T7HuPqBnDmTDaVD8syGoF6uS4FceNPEkqDHVOpdK53krqkyKIys
JLLbFGWXPRArXdY3VrFyqqy7lSJ1moPpUFnhTKEhsxbi8NA0J2Et4sKZ7fytxu+NojwaYaolWYiQ
i3Mf1NgqJh5QBu4HmXnODoQhfSVpR70KIPbuh6kj1zoTzXzkBuxrjbUR0hxJJ7qp9AW+w91t0Kvm
AdI8DtGhFFT33lrAQMHUT6ElLXATi4LkMupCa4brh6J+kw70OQTok97Yogn55NiJbArfHdaNeJJr
2f1wN05hcyujLiWBknO7mPxXcUFIb1J1yxkoHycRaaX6/X8TyZ621d9siA4ML7rJ/7whXuefcHZ8
bH4ikX37R391p9m8MFXDPZd4rdDocf6zGcb2H4R9CLJnIFbZbJQwxf4ikUV/4HyI10KAi4tN65q7
+E4i84TR2+PHbHyTvkl5nu1+L+2Gz31EnYhusst2y6aMdx8S7p83Q7lYEHSrntW586ZBbqe0zpcL
5U/5kRWgwXCqzVaC/YpSWPPbfMH9eYGcAlMW4bP/SH5244gdeehQqnEtC546wV7lFefUkRa086Qp
2dCaHi+SH97030jrzZ39wH5zoItRZhh3mwgBuvP8zqN+nCuMjNSZAJHlTmSNtfXhM1+tU2jfEMOI
tvHlC7oR3+rZJfGAx62KqgbbAN7Zzy/LyiuW3rFNz0EQX7UD/Y5tNVFnHAsPvTmtWmnJC6Hs7n2M
NSaa4dHj/HsRByOyEHQHor1MQlAgZAA412+gwbLEOgO5xFGTh+6+bcblFkNdcV85LARHD7jvXCBT
AdrNGz1tYD6rgI6xrPXWJy2mPKRAV8XZCqblrtIw5xyh/Uew+rbfFBz5YEFlyZTuFU3wegd8zZmF
rOaeMzZfRG5rdvnxgMfVer0GuXMPk41BMLuV/6jcOj+uuI1yZBuIJFYRXLFtiAQRlVIeQ7rnbL7c
IsqoSMvIUudeCCvXG8TFPBtxiPI9HKflNg1AeDeLk0egsr4DcAEwrrdB68gMXKvmjuLVdy9h8aBp
VCi06QdKyxH3DlyfHhsXhG43mB+CWwXhGnTvHBdm1GlQPeMv7Su9tdhdpzutGueelA9n+RNoc7E+
uM7Am8t7Qi5gJrdLy2EwqlH7E6EC1S+wuHTFiSaFXlFyd4SHN/V20dJmW0dlnt0mk+gDMMmGkGQM
B3h+skn8x2JOk4dxRTA8jYp/Hs90VnYyD15jN8evhjjBS8pXj68QeMPQv4PGMHUXnrbres97dMet
n7u8ltyq5Lxb/EFqsNWWz0q71hFn7KYqdHLmk4Tm5cQEXfL9yIk8Q8BexS4H5qQyZKu+zlIye62I
Y/aGHJjlAgMg4jxhPNPJ6NXKJET0yl2qIJzDXTs5Fcd1Q5LyIVBvnHlZ7wOwJoR38QJyUiReD7Q9
to9pQb91RR32YE2huJmnrroljjp9dGZY861VeRENniZ8bNJy+rNz7WI5CM2QzWZ7uZ3oX0bbrECB
ioCDKOuTsyB02hNOFz9YOE4Or51cW8HOn0KGDYmRvF74V4F6ZbMX4l/kp3SGtvUoXUGcrRdlGiiH
Eel8muuFb0ch5M1f12Idu/f8v3XxFUPD5S6vbXFfBHj+bNuUMdI7DefhrI3FPZxyPg+icxmgRJ/5
tuWsK+r/sO3e82aYXGFB4PWx7FqEHD2IXv+uT6DdQeFnIiD55wXnTmeUcGRnnn1HQ3VLFiq8dCpa
CKOJs9zCO5IXI3mzy5VLqyolVH3kKnTjEN0JZlu8B2LivdCIQLnMwbo9N1npqPsSfbT1YI2hlleD
oyx1u6LCTg7VChXzra7nNQabt+vyLpkKdbHUlqIfObnupZ48Fgi91rxLRew42KA95xg7x8BJnO0h
iiQVEPsB9iOzp5OhQ3lvBnIJFAdgbYEq7YLJTIpBefwWpNWsoY3XOvf5aEFxNUeg4N1SgQS9KpKY
hQLFcdl+Ct1Z3GRBVKSbqKq5plVCMCV4PFXFByXUDA+VBO7hs5tEQ/mnYoVAFk9qp69etZTE2AIs
Kd3wfVgRU753SnzaNjbD6dTLkG8+VErcFIN2lz+jMZHlF/jOMGupqaCJ7msbvs+rmv1Hyw1Ulacu
iUOnCrP6wLYv0etR43EM1OQK4BH7IV9gHuRo8Gku2fE7fxoTk2/+JsRseN6CIY5v13a1OMP1Gd4V
Hb3kMc0ukY4nO9eEkm7qfJo3AlkepOmw9i+sfg6MN2shrfzPNPNG2k2o8RBwgQckDYtMe9l1kf3Q
0//burX9wWpQjAwN2n2USRjDZPMSXRAGnH6s+iT8sqQggpyFmleEX16Ns5IrJxu1ALyF6QffnWA6
sEnt2qZ37yKZNB+El9UHp7HThJSCmuDHIVS3cUoCe9iV0t04pCxf511avXWKPgTC6YeDtgY6Xhzm
tg2R5XsUH92rqdL1le8RiESLqnrNst59gDOQvZm86nYO7aU4Kkk0rVxJELWLFjg3b/M3aR9UnLS8
Pj3QKW6ukJqIHaotfaqsuDwACOQbzkIN5OkQLWg+ue09m073rvHrLtsVNBwPtDHbP7MAnrdg64k3
xM6NzRayzHJDe9DdpPlUE6Ad9l+RdKldNXoQrI3h/Fw5DqSHPsR/w/YbMpBXyoFdr5wJSUvdHqNK
rrRpKre9NDHjh9QXr2lZdUecSCC784zvilLh97I48MyaNRHTfq3D8UYOXvIm7rLgaPWalrOFlSD5
RjrCqCwIbqxskGcW7PUCh871ErAV24+hnPdrr0j3drxxK8e1uMiaPrifoEJ9tiEeneMo1mfVKHqD
L1coz8xxKImwWud/BIuRcTgyAuwffJhlW7tRgT3DCXYPvLAmwY58Rsmy8ZCWwSSe2jPMcHXx8lVN
1fNzIUZSDaJuAhWI6CQI4OereliKhNkMsZl2W/c+x1AbQsDgUGO8fB0QoF+ugys/sQ1UeyAOz6qv
KWuDsUeNePJKU2GEtmLNbpbuvb8kLBj//mIhIBGvU0Ahfe55JpjDVkoReIqqOd63beZd9sS4bK18
jL+Rf/8Rkfq1kI1IpeS94RwnOJ4/L8HTOOysxWQCB6u4aeiCHX20WluY8+25NzaSLz/a31zPUGEF
wwQszo+e0VGJLmDaVtCn9ZIlD9+2oAYzknzrNz3VCBwyXu/L1zQj7+cxwsMZx1ESXPl4z4v1tU69
IVaDRxe4oboKLZvihwWVHbhZHPZAOgXsR1Y9GScPq2D7ePkGfh2kkU9MJa6nmBA4v+RVIutG+VmV
wQkuuclXtNzLRcy/C5T526ug8YlJMPEdTiY/T4UqceYmyfvglA6ZuljzJkf4+Vuzzb+7CgfKiBCq
GA+z59M8GFxH0nEOTrHso12Qh9WW0JT/h2EC5ubahAAC2MJg/vlZSiyR8i7HGNZJVH7EopFBMa0z
UcJrMogbKAmT/s2R7tf1izWdNYzHwk2By/58ySafknWuAu9kwX94J8aIBoI9UYrAvYz3TYSCfBOg
eUp+Mzp/XVlo3cHNFjwtPbznjxo7c27rzndOJSyXfdKyTg4BplM4xkS/sQb/m0dkcABlU4PjWvp8
sQxhE3Cp2jktCkoFQVvtWfd0cyuPAVOaE9xiRs3Lg//vng95GA0n2/+bkK/JztGOYp9zqgJJhHLt
uXgyRNmRg85vZ7qBJp5NdZzgQp8gAHgAJur354/YZpGKbNaTk1Z9HMGSqH0wrtCu7rpJqxugyqzZ
JIT93i4zdd1MrdXfTHLC08mzeo/DRes/VqnTf8ae2KXq1AB9t1EZdL/Lk/m7OwX6QEKFeAOAxsyz
H7bLJvfnfMXU4eTULhfKk7x7XywW++WEwY9DH5Wy/uUvIX6du7FNlBaBEzgMYm/3bLFPK/CShD3u
ZEUWtS5ybc4PZOYOn1GRsWVmXWLGe5GLGzlW8v00+Vrs3Dxe7mTvYDgk01HLA1VSfhxW+Ei7l2/w
794JK+VTeivf7rmRry37TE8Rs77WEUW37RcfYMO5J+Lg8KyYJUy0ly/4y9ikq2NmA1AOQ9R7fkGZ
96boX/Vp8hLvsbcLKAGrbBimS8dp/N9fDNwIL0sixtgOno3NSDsxCSYxxmGkVNwWTRlf2T3yKWTf
Haekly/2y6fmybCD9YTtmh3Pf1YXoXkTHQT+9YSSjoMlZo+MLCYip8SXL/Q8xswhu8QNTPHg83Ao
YJ4N5IqwuyXowpkKQmX9rc0ZbqQZ3Q8EHdBw7c9dMYGEeKkXXWVzVpMo3oUunZbKbIOtXO6yvAQn
sGYOS9te6O49fFR1YVsBUBaol3uwEZpwPJclh+PZSdfboWnjtv63C/FTWBYGSOxrBBs9L4XoGgCJ
131/Qjse7WY09mfocvkxtdd/XXVxKcaARyIskN4vKTpDajvDtGTqpEh9vozIkargxch4T5erPXvN
8lv80OxeP9RAHtsadGGmPilqvv3LV4Id7wqpfO8UyMX7Qm7SdFJeEj88ASJBSIb2TurKfwv9xPnN
JMNA5/nFmV5uENAHQ5dMJWQ0Sj+sdV6VDGjv8uIkBEiS3tlFhFjiuBLf7TpbbO6jj4EoS2830Ybv
6WK1zEBXpViTDWsDQ8ahwWWPNSiixrTASHdCc7DAqIpExZBxpGp6Y0dic/LbcFitht805/5FbKUl
MtwyctvXftHrB1yw2e4sNoMjDkqiO01q7YyWol9u/XkBGuuTEtyvBDjCxUNO2NhEKfkg175tlWoH
H7l+PYM20JEcsE718uCWqEWLZhgy6A0odkMLJYThjzNFAY+0D324Q5mnuquhREm9DbFjmXcthuUc
oHV+mqNcbD2kvNikjPAL4mYzSoKywb7taW4fcY5rWuYMeki9HTtRic+zikpAcQvKyzbGKREwFMuO
7HbC1Cjdh5bU7SUkGWPArWilXRADx6kI7z/+Vsvwe/E5lQnIC4QiNhvZMdcyWKfrV9ByCDclZEoO
7qvC0eaSKOHlrlt0nd26dVtBNEzlNLzu3Z4P4nQEFu9bUXflXatt9gsFoUYe4GMtd6XtRFdpELTl
XdiJ/vPS2zzF7Ba+/oK+evSulRQGiporPvNi5/xDHt1/9Gdu900nYKDuS6fwribe5gSiMYLN5eVQ
LocAClC9AwcBuRogkAfHqF4Ddw+fid84BmjBP+rZbS7lUozWm6XNubQsNbtWbCMxwlCkopH+qoHF
NtwJWpj9rmS4ZLecV1u1hdwz465q5R7MNoRZ5W4cJtRZXdPNu8AxUTw6ZQQ1GPgF8PZn7EG9KRHz
ZbZY8IqGxShWEd6AaUU09vVxwfbc2TgwjdWrdLQXdS8aX1XHKPcZYHi1B7he5Yq94akOALNn9Ok0
AGrIghbcTAShu54TgJBIgra1y9d40DBY9LTcfoPg/GrkZtxsEfde4fiPeZJlyb4f+xkm/NO0CqBG
MUKZM3PoFtEjXoBAb7NPXqhYRJZfgPaCzTuD4fGowGcUySjgZJZVPu/V6Q1m7hb9+HHN23k6LDk4
/LfWDCL7x8R3TSGRetR2URt6j7UoDBKLfyReI2SHXSzCBoF/2v7CYARkzMCuwisf+oDelHYO/a2N
Srs/13HKNK07i05DtXq8WC+ZPBczKCfNX/eN5EaEDXYCWcnp7xot5PJhhBBooXsJ/bK8i1pCAq/9
BXpVAEXCg3OX5OuXyKKTsS8iiXBnFR0ocLZSGxOaLeawZj+mDZAhwQWuYKzg9pQYOurghn9SmEOu
2Pi0rjt3U0F8hkiYJAiytyzhfnGqVA9av1aAkgcQNB0BSRRecqptewFqAyEfIgAyPU7F/G3H/28Z
72/6pNB6qKT+uU36v6vHvvxJwvvtX3zvkbLd/0G4CmgKZEz7R8KQCGmfmtxlTmWU6bRD/9MiDcUf
LudSOGmQg57Evf9pkfr8FUd9/hZZMIW6+698C92ft05zO4LYO+KRYTnTsH2OXUThtNY13qRfMk5u
xdcK4ZNr72YyPuRAvHnhrA+FsfI+9Cuh8Nu+X33/E+VD11yJ1m/hOnQWjrp0ByOrLWExYDKRgZSX
pt1l1/AVtsrrAh1s8mRJWd8md5LetHWrcQX9JuyLJRKfByNmSu2OPkA2jMweAnJTMuo9zElZSfUI
B+Po9mkufQZ54cdqW83GIPfQIGPr8u3aZwlN0h8+5O238uVHg/Mn8fJ/VTWcYDnKOJiP8L/oGn5B
dlqY5O3Qa/9L189TXG3qNMxMujzOJeV1nPoxl1xE3tRfJVZe6z3NvJhbc7IREBeMe06Xty/f0tOR
4adbwuWSAAagLT8Au3s6of5Q64SFs9QtrPfPME/88rrz8rQ8aW+UfQ5jI8ixQa7DPKP5VWYdlltl
sXQl0k27a8vHdulXCZNqxIqboIgJo9u9TlKNZLNiF+v3AzudfshUkFjLPtClDG60hqCS7evY68nc
IplpDOPfVMY/Hya80OYlQxQAv6JsDZgLP9dvSYZmySqr5otNazt448Pcbu9oq7X69uW3x4z6oUo1
F8KzxuTG+ILz6S9BzCuhxrGGE/0Z1oCDEh0tdumhk7CZ4YsbFt6ruW99Q/zCxdwaUDym4XRX5n5T
fH35Tn4+GT7dCaAyxxof+AlLnWenGqxzVzteiuDz1EcquPEpNgbUwrUFZnui4aARFr58xZ8Pv+aK
LCYerj0MQvxOw2cv2clpyHRUAp8Xkfa598VBIpFll0k3MhbSVprHrjAo+S0E/CwFy1wZtwHH5kyK
Xy9z6tnBFOmIIKLVqT/3lefX4UUOb+ItUYBM5u0QpknavVpindj1VZurJrD3/pSV+qHow45dsK5Y
OcBNkbfDRC4oUbxtBtBQXZVTqqL1Ypw9jwbgy2/rlyHpY/jvC59+g8mgNVvAj0cKC1wgbEm+/VSN
2FGvO7l21lRuJrxr/iXkyfsBlDMkmYBq1WeneIYMuliEqbgo+08LSjb4zAW2kdMdRkIYhv7bQeBz
PIOd+nRyF7+kuIi4jJwF/dmnhuMJL1fRwCq+TmLF36TFPLR1d0k9tcPvQMhn0JB5RjQ5+ElFNlAU
h1IzOn9YthJL2EunfOuj9jnA6y2p5fnYb8MIj1psESE29BVcEq8MH1dSXlACSqUU8QO1Rd/qPq/1
jD1lFi16+Jg2oogPLg6C69mvVw+c+OWPz5d+tlBwg6H/9OFj4431fMj66dypelTtR6RtDlOxiNZB
3/bBovg+erXTdUJu1/W0ydwkZ3z0DRxYa9sEGOVl+7j00vUT35K2fdATLmq2P6/UhG4JDz7rtwXY
SzpWF6guafCuT+M4GdCfwunGVBspIF+nURhbDQjvxMQXyerELNFWT/GINf5Kr/p1glvt8p6Idpoi
G7nohHcBBc9lkbd1jvr/4HjSZ8TKbM6X2y5AK/0FbwsBV94dkl5T3Cex/47oUGac0m3BPQoSpBrU
TLgNvyv7Fi+j/YjVjn7Q1KjT/aRkMN31RNrxs1lTMCc2GQcIvpmTEbqIpA/MBk+4AkIRi0pCnC8P
0xrSCQrcrMF6CFvBwuEnA5En/EgOQlAHRx/MYng9UCSzmdGDLViCezRh6bovaCRN91Y+x/y4xhuH
q1kpPjo3blzm8j06UdwLE2+S+XXlgaYfZwGJ/4xmYB1P4zLiCLJFlWbmcj7lYj1HU49mjIyGweyZ
UHUdFhFIxAP+PC06wrK8+P4APgpBHrVBlBcUO9tOLF6obzcMP1i5ZsGs6tC26j2U0ID/yMNurREy
IIRRf/0O2UkQUTdP/BznACdq54VjlPZ5B6Obr1x66TIWYri7PFP67a16ZQkrZuNzvOMHZoQn5amp
1GhVW5HBxK33rhVSta1dEvBaujWUPJ4R+DJcWjxtYU6X8K4wNEuCor5rBuCYEAk8SAq6dR+HwWYz
NXHMqEkdVfHNXJTI/KsoFEl4GNIBaONkeUu+fpL1MvEO24W0hGrrs94TxhlVoJHINEIEWvNlgtk8
QFqqG1O7wfElbhHPK6pFHqKIjQ5WukhcsDQlP4I7Dp2JVWCv8CzlYSDxmvGrXKQr9T6NXOlOp7if
yMEC0Gg9psKIFxZ/stIhZDVWTjtwSytPz385j4W5Fy+GZBbQWg+ZgmskS0YKWTsYlk3koXN7RZ1H
pm5LsCTLb3ovYvznI2omlL1Y0nJbqC7MO5YT6qivI9ZovE4dYafY7ipKQO+iGIgfDg8Ee5ghakrr
6b6LGv6vJGGACRwWA2sDpaOmygCaYp6v4MBm8chQrT8W0lVmSmN5wy9VtsdhDq4sdaOxWRTudB/m
pcNbyNqw69eLabEBQ64xyqXPs5cKt1q099RiZlS7ea6Qd5axFv7FElX+ouiH38eYcsbTjlNzaFam
rMoKfQhs60BARNq5h6FcUw9Xz8xAFulkd/rWX9eF4R/1ph++j+uZZE62vrkNbgLs04h/yOyhkvY2
IC8+f9Vynk9gPRSj+cJ0uFZbHNA6EPiIrsmuctgKSoIMkz7T99Z8LpOeBuNFYvV8G+lFdOAeG5ws
eJgmKda0fRPXMvGam7bnaA2PzwbXq/YsxCw3+8FNixXmfDe2ccxhOogW9AdOMGQXWFwgQQcSKFlm
g0969i2M0VlsV545LpYSm/ONypYsS6/KNhtFeDOQtGMGT16YJSUc5lXi1oOfDH+yx6VnDCVuLsv0
3OpW83fSgRCH17TvslT2suEt7aD+C7cBWbLEiMBpJo4IiwlsoflKjaAhkO3bFXfrYBtL26yCWLrE
jFw775JhOthDN/OTHGEkfzeoxKxLpT3Vy2v8OkxFmCGGZXnqvCXg/Q1wsoObibfIXBDO0DOgJonC
u73k60uyASMYbd5FhP02Nw5QNHJpTyA+7g4sl2xH09qF7PJ14oMZ7QknNZvsMIzY1OLO5uetxaas
VtaHNcosD8/gVZG0whLlexedHBoeCfgKf1gMUUy1Ylv4f36qI8lp5Ps5hFXfvJy5lS4plJBPIqDn
FLaca12OhdYKf5HITYmNoKO892x4T28SufDwOBZiLr43rVjuOCxmi7fU1lnIxC5GTTl9EUFS4A1+
H9Z1Ppu/g40I1rbV0J+486C1zHLfE2SiHwSKKd6xG6pY4SK0VimyhNBKc2auFyU+GTFzJhAwOjnL
7q6PsWLH0E+LNYDJNFfqjV0v1X3sOHHBGFIyl6eggVl5CNpp7D51NXvMWeGo710n3CkRLg1GGh+w
Pg40JkJNW332AFfVXd0GtXqccVCeX+nYquzNbFXQIDosVDtClIsmxilBIrDvxwNOttF0o2SWLO0m
qO1aXLkV2yr23cMktpJvpFjkQepMOl4zKbSr6VJOpkjVal6rjRfi3R/jyWqtw3vE6KP3JqiG1Uu3
hfTgxW3gMa2YBXYxz58wTpN0uBwydrIKmlU1a72jPYL65ZA4OJ+fFybHiOtAeT3DLekOUxymCPAp
0PR9WjgZgt8wGMJTv65jtHG9wUGGLVjh8MxPhz7eWa0TFlvDYSCqmpSoCwgVw062WAhA3Wls+yhm
kTmk32AfhuwkrHROOoDrW7cdok7v7dhLVbRHu8PCW+7jlrzy+wXLq4EImqGx7jzLA4MfGkY1GFoQ
qLca3luDTHAIQtUhnvRTDbNrCrtgF+MyVh6TfACl1q0X1QTwlK2LOzDW672MPoq6iJrPGWnIeHdg
T7PKLzGShXHcjmHXhhvH7f3BPg5JI/1oN5a2XwXHpIa7cINpGoEBxynoKGuzL1mEIxfZLOCOBCkg
Bh1WTXyJi4NWeqMcHqa4/V5922uVBOJuTuuWDgQJ62ZD7Wq37vy38+p3nbfrklnhkNPadkqNAiMc
ejCtuJkJozCJZ/w3liqooJS7TGZbiVlImNwSlSh7LRs40yHzArPC1b5tKswcDFIkh2Kt5rQyD9bN
0VlLeIv4W2ZyYuvxs7pglxkafEZpboT4PyWH0W9N9UcslDk5hIXAGWO7eqRUx8dR1nnwDtYNgP8R
FBR7QgJpB7CGbpQ+y6Tf91T22K7wlo6e41MFzza1m7WN1xkfg3NBoBuLHgntycweXve+vZ9EE2j3
IvacipKocTjxW5f1WNs8KHVJBN7k+7UyCyJp8+zRM/Q8ShO4pQMvqGtCs3NGcl64U5VmIdeGkBq2
GhKgD6l/S6YGPkuG/pcwl3q/xRv6SGyaWSfpsFT8CNazMXfUJLgwqUeaIKZejRPohQ/OgNz04zzL
pj3gcB42xA0VE9vi0HWmlmq60JQs2DGZdzS0TTCIr6PVr2W8mysx0aVhPwQ32IQdGRk4YdnK5/Wz
hq+mRHqCe4K+NrvU9x0Md0reI/6iBrEI4tncvXATixfZpV6BEcCa1xw60HjxYllmCnMHUMAyhs9f
bwLn8h5Xgc7VVKRhk/Eb2xp5krcrBY1LekdWZYZiblMH3Pn1kvjvYK6CPX37jGyYQjxw/BuHezib
OM0fiO8QfKOxh1+tbgyNes5w7CvsJEZCHvoF2T9dkGJL51GOTvcaehxPRQfNgE9KwRXLLokHN0WF
PRQ5JfjsrOZMTL+AwVKD14llm8+2CjGBQg9M4eygXmYFRDqm/AubYIQputVDhl34VUBjg/tZtWfm
gYvkn0ed4I9O9xjYmSkCK8gAXg1JLv2eXoAp1ASBXe9yKcwAc5Mxl85ROmFFnY3K3+yu2TSlbJoj
zQr+5LodVWDgKlNvDjTy1m1SFQWVNRkkHLUTbeyMt/z35qdN+Iq+nasoZLsUGfflbLMsNKVhGYyp
Kebdztztt+lRDj7fhbxSutNH1bPw1TgUuFP6YYrmlN4HROCSVPNaMhaqbb5SExQHT3lm7FaNEzfX
9SzSadilVR/9H/bOYzluJFvD73L36IA3i7spX0UWPSmzQZCiBJtwCf/090tSHSMW+5LR+1mMehSS
CCCRyDz5n98Y3YEfICyK2qGceLed1guuVcwNj6BXcJPAYAxVWuM2y5Ev8oKkeeybLrHwhc+6qmVx
mQbbOrcHo8VIKXSwPP8ldFMdAtPK4cSmI/TjhaABpbzk4Ml7bidCQM6sweT85HrBNPbb0bTq7LGP
jZFBCV8rHxnpBGOsZek3PG1Co5DC4PeJGNoMgQebMYp0Tl9FVGOnsYk4szTrSdO08YfVd/UMV6DX
dcJqqpjjSB83kdR2vltZ3Z0751anYSFgMP64p6lDN1bZqgprRkMd8mHEq0I+qkrmR0j6Om+tFQC6
eBT5uAItk6Z3CmqUwCnnB0Zdrbi0iDjz7muvKnDp4vzAdHIdLg+0F85qqaxYk90dPopjG2OjPDL1
d4aPHeSPKfOpo14/vaLPVWmVa4K8CxgjRAPUq7bvpZoYxaBgMS20JjUl4ekNGEzZ41jUDAhGgzEr
vtYykIPhqU+c03JUHXG1tylepyGNED8VY3ft4tsi93434pTjS5MzBRubhtiHQ2Dbs3S6eVbyYwIb
E/tgm2LLyJtEb8AqjgPQy6kR9UnGV1qnvcEiRcHfuWjpB1Zn4ph7dQp8PVjk4axuupxHAhCXfGUT
TPoWy5v0YPd+ykTnkKQz+wcM9HmlidGpW+8KOs5ChR6HbbvWEGhlR68CHOEv4sg9X6F5UAtWy2vU
YN1nMsFP1NUS0qI3RWwV2aNF3Bg/EI2nWjmCUapCVxi4PmSfYGv/gBkRiw03mYaO50BHewtx+WOJ
q3aQD08j1ph8Tlgk57GzwnWJjM6F7Bqe95NLnqKUwFQ+x1NbwXkm7pUnmO5UFYWvt2775LiD6t68
To0c9hVb18eY2PtL4exOjWuphpHiu759OjOOqhmbtfIpsUO1PpWubUElHFmsWbs+vtYJzQ6aAjC1
ZyCYgk3mvu9KSZ0YjyHPrKfREkhMzrpYmMxEp7XRVdPsFQZ7IZ49LBq4eToSEKXPaz9fKmq2ewEK
oTobxEUrhEe+rsy/ex9KDaBKJM9BJnyOxdfA7z6+/XdDBSVKp7CFG8Vx3DxlLI1NKJT5KFK1xBi5
DzYodSxkc+UI9fGl3s05C7w7oBVEJ8hEt3fyViij0ChRQD0GsW910y7EQ3R4MGZPfSJuGA2fTrnT
FgqkcUIDTFSJoKamaZ5csaklUXz0Ch4rO1ZrVDvysV11CSv7TWTCAZhWYUC9TzEx8fufOUzi5pLV
Tjj7j5/9dJjpmjqOQudpk5JKfzojh6Id+yGIrO9gEhwdJwKVph9+Aef7s+T701E24WvxtJC2uBrg
2Al4nVEY+paRGt/RxnvZkfAhdTRPUk5qO9TLqmr8+NHeEmlp0ECyBnamyYtRM0WTevQ/0PIWi3wW
k6n53hT0iUgSsEK1zLEoTrzXsKmR7ZMMGU1xsPQyJ2Zn/PgG7HeD6zKJ4bo6HtbOPPrpymJHcW5U
XoFIXJ+iYk0vCwMJUI84SF8y4+arvolVaQx9RK3fv0FxzWkV5CXctmBfgHKnBkekjoJ4gP4nvuIS
q2tOC3Puk0FGHTGUvlz5Vqv5OCMYWctq7Q2O2ixJqoWuvIpDnQ9/YbE6UYu0Xgd4ZAzNiIswji1F
SiZulpjtPqG17EN7yjRVW0ls+lkstMb0OMUoa1LemVsl1DaetNQWX1VNxW15rwC9pLRn1cxw3VQY
jt++VHymoYpl9KUpK4kuo4Hx96O0AZk0+xGG8VlcYPZw+Hj43004iHuQHR2SxwnaeDe1O04WsabP
0zcctS1q1qhq1REomFtVAfyGrD++pPpu/+gre2qpDV56ND5cgHfsRHpOUwvjfsDk0VUYYweNCFYa
oodMu9Clzh0s7DzoOESNRqiKQi0X6m4+vo3TJycf3cZTXIeyzC/+KWO2cOti4F3G37IS+POQiKYV
92Y2mM25KduLjy92OsktijMkMD76Cwjk9imJ1TX0iDhBKb/3dZXOD07qqWmRpvjcFJ88l3nySfPT
4UOjQ3e9F86sflIdRMOo53nRm/eFbHV/FQJftjg4A6Ny0k3Sgd1hQcNb8B8PwIZ5OTpW8MBhzWnw
1ALWBYLhyKP69xUaZupQwhBUoZ5EnFBQKfFVxGUaK1hr1BQM4Le4Y8X73ncVTEwuE38bCaTFw2mZ
w15ESoHqFBm9UOs1B4KMsAgsppMpx91Vj+zjvxpvxoBMGUvnO7U9630j2CHFIxBuN95DtVQ7c1jS
qkC4OJScnD++1EkeJ2+TBczxkFRhIwCuf8q2HcoKTNWwwzvfLl+uhT2pe5Hhe6u2JpZ6lqDX3jte
8+okWIyFQkl//67pMXpKOCDoDK5jewrP5CxYsdKZQoYgCloG7W8+l3yqLh2sSmTDdrKw0LLWiNM4
Hiczi1q/+d34o1ukmkhanpp8O7Ovz/xZXwr1wmcn5SraSyfee4UmeqhiADOaE6s3iRtjxD/2ehb+
ctU2iQKWf7fQ+CKZuyk9D/a9MATlgFdpIKYtP9lv/befi+chf/NMZfGPLsfS3xHMa56g9/Uq/JH3
lvc1bQpHOZ2Yzs7N/MoG44/bTWSPwdnkE4WO32RY7ASi5AcSPSBXFniw0zSNLIKuJx/xOALD+5Dz
q7zKRzJ/l6RvmrskSK9JDNd/9OQk4wbeoLNf0stxL3snRH2tJ/LIjhRD0sX4LlvhY2h9mekj94eQ
0B9nUeWBbq9ADbMHbdbwDWpzTBiXmGRd2exK2caGGI4HctOv2mqq1/TE8wcC9+wDrj50CdKqBc4r
Yeimy9bIv8MDcM4mNLzENaKeR69QNd6dyf78WMWlgTtS48ZAGJGUW0z2ijt4j91DYlmYqPq6Zhcr
DdzuW9YF8hlmcHPr2lJSFoXdLh27FE86e6qWBf2iEcfDINEWnbJdzXEBbYcALa4fp+mXzndxLfPD
Llu1Q1Pe4SEMJGYbWgzap9lL3dWv7XbSn8ypld/RA9v3ceegDB/xc8o8maztZErOPv7I3k0Iyi/F
TqNSoR/0jjzWOTIoM7sRzzXmaxV2xRW8WYjgn2qYXmho/9mdmHqcp0wTIkYQGOxTp2crVHQZvuBx
/IysjalkmayiWBeQmrIa49y7KZDZ3SQyxJqaCIOgWlmYWefIdx13NeYtbCg4bO5l4zbBodBq755t
COdL4Lb2QQj2dLMtRLUwWwOv9T4tfgmyhM4LUMvr3lSZMCnHNyznDb3CuSm6tITyyCWy3AXUyGhR
GUMA3tQE03NaRi0Ie9dsjMjRH/WxtZZIM6x/VSK8jMjL6FOm2SZF2sl+UgK9ebUTFc98K+NVYGJF
snbzsk35ZHT3/uMX/bY4eL2YB0lRlVjUz6fVYEjKDXhIUDy7uifgZ4061GKw7YUQ2bG3rY6zd1SK
a9qzXvZJLXxCwuPiqgygDGICYK1mnpYEZE/J0fan+dnu1CyLEyveWiitduM8PhakhHyztGBcdQg3
UDk0mrvD1tMpVh8PgaMG9M0U9BRZk8BxE2kF2/jJIQB3EhJEAIyf0SjlGBIWmMiOvuMFaErzmeRO
W2ALIFpckRKtEnR7SrErwa2OfeXiSpZ7kXZJmI+9s+YJ4Awbsu+CgB5n2WTaEWMl73yypm1hCesO
DDS/LDVm58KlMTYt53ak7ZKWEgV8FXg3lI09iQ128mty0+TCIi95m4EU75KorC6F0+btqgwViZqg
gXsd/ve1ViDHWrijMWwssx26hYWZ392QBzFJabXOA8DqDhZ9G9EC8NKacAaPPfHWdjT/PIkn+4sB
qh0uaDoQKfTx4KqxOx1bNFLUoC6nWe9UrNYBCfPevfC5TmznQiME5qFKrGnC2bPQL4yBs8QnVzTe
El+ZVR7HLFi38JEsKHinckxDN/MGM+P0JzaT9gHYTBMEBEzaGUBluqERgWun5UTNc2XpBIhEY3ue
JIF+rfWBtfn46d/PcO5FZZpDjnJN7x1yZJn02rJxyH76LidQHFeC9AkewURfigQhqnbveZZduHcL
7WmC2U1Or9tjUvfJbfzDkPiK5MoHjiic0+fbUydcHCnk7OU/Q+FO3cqV8XSFhCYmpjp3240+98Fd
jc/uZkL8sK6CcPyGHhLrl5iAsbtPbuYfpoRySkRXjTsiZlHm25uZRUdUAJ4iPyNPd29r15A3Zq5p
Kw/o8IwtprtAQdgeKrsQe5zOcRkvPPYETGqRC3ixD+UV5cV5onXWL7jZtbPwsZm5/fgu3feLAocE
FYDk895c45TG2eC/J/2IlxRhwpeDuJTh97KZcZitxYRdmW5mYFOiRBPROqC8KyI7HMYrSlYgXEGA
UxD+eKumdL2vSUuWM6A9zY9Ck/ExcxO5qy1rvHC7ONpHjhfZC/xlzGGBnAp7xQjjk27RoHlf+mJ2
qq3GhN6kWasd0cP2/AVshc5fXiPKHQqR1EkqTJWou5YlSqlz3LAhL2gWXu0Ym+fY9/VDSveddvWD
0wMqUEXK29Yci30scotMIQ+iE2sIjb6lC157ZQVJQbMciudIL5qOYIs1TYTRs1cdh4p8nUWZVC6M
aN8sjT20oqHZ6iRnfGmbMvnaEVtGMqmJ64jERf0zyFL5e54sKyjVLYdPHM40h8qTCY3cfhJBbXc/
Qb3r6J7dzZFEVWPh3Um9vzBRW9BTkrPrYwLtlL/iWfeyxRya1bC1UIA9OEEenevekN2bjd3RIWEX
2DRpk/MxkAOztMnW+X3X/9VZ3E3Vz//9n8dnkRQrfK+b5Ef7p7UcSeJgjf+/zmL5mCe/cKN6m2r6
+q/+1loY9l8YWtg0rRVA6at40r/NWU0bQzrOLMALaDEMm8Xvbz868y+sOjkk6rCj4UEoy4HffnSW
+RcZRhCkcHdgkwBk/TfurCd7jgMH1gU85zwKZolVhK3Ajz9hvRlyX91h+VIMVrDuB9ibi9JKKZky
b+ivXc2ZDunYU8npetZ+a7HgvM9sSXKADIr6yx+jd/W6u74RN7xFJF7uBqiF2hEZiRIoq+3gj7uh
SIIyFnd8B3VhXETZzObeeSXJRmOP6zNrgU02MBKkBF66z5pRp8oPjGgjz15iGVU8B22rX/Iz8Jkx
89y4B+DzDWSXTvgTRrExfrJPvpQB/ykTXu+Ywkv5GaCpfwcO2Wpdd3GAvbCoxKKVC4Pjvqdig8vm
4TkNXjga6SrxQh/VJvvEYsp0ayvQYKIahNX8HI+S1HvKM2cl26TEkVTEHCe8xsmiNY36+Ipj2kFI
AthXGKgEDzKuz7J8wNkLKoJ7xCiiF9uP38P71wDyprNsg6rDyD6tfbxJiwatyuUFxr3BQxnRf1nQ
zGZqVMoxj3Z+cFuFRv7148u+BdrgNiOqAefDEoK5yC/qtv54+44+RnYlo+Ki8Gfjwsji7gIfw2Xi
h/HDx1d6uwq/Xgm7R5wBQBaVPvjtlarCnmbSyMoLv9Ltx3pAsrgNW5I2F/iarnWcAGZyvid2sRQi
lPhs0rzdotXl1fEB6QEIiMvqcHJ5z7OSOCpEcuHVmfMo4Ak+Zrm6B2cWcu02uIhPOq9+O+T1gFQ1
K72fLdFw+yGY7PORVj4tZErvbAmbQ9xbTWVaq9ifpp+VRjCJrs3Cw+C3tGm/W5RLn1Vl718UwCHL
BnWZiX2IzZr254vS3c4pHCfUjgbpTo8wPWW0MLSsLewFFXIRHdCQZ0Qkkho1znUMK80ek6Vp9N6v
1iP0Zjkh81zCOu9/JuRAPff0o71PDqOAmdzFn58mqgtKR2VuwtqqUNW3d+k2GFw1cWsdU7uuwsBf
tQEpyYqchdlyD2eqGWv9uqco6iCLE2LQGMWWpnO1zW1sw7K8FjcVCtCRCm6IvgzkR+wnCVSH53J1
D8EIyJTTBzSLNMViq7XSAVtqWVwMlSYva2221lFkBKRczCHOCmYfi53jtvmNmUZX0VRgWJx3Xn1B
BN5dayKzWbm9yUAm+Omu2NtniIyDn57TsfW/hXpnH2LXN87nCNLzcsAHUiwZjmSvwbsTi2Giz2BA
MsVFZfwB0tjedrrmxYtBtB6Ok3WHltQ07+rYGOCYeZqBLWachU80j5t+kRS19r0TnlhVlTT3ULTJ
q6uD/BnBJyhPZYnsFpHM6C3QykWHJmy65cQ4bDkjB5c1BoFwihs00AYa4HUOhTFaEjzl43BKRDVx
hVaz6og+iUMt0lcGGrYdW405LAvSNoCFvfzrKPT4zIQXcutYrbPtglQzN9IV86Pvls1a6iPE2Z5k
kI1G9vQjNLbhl4yqygHLaAmdLiKzjzZji82xRcbAeor6zt80ZRiTrWCJXcFfXQSu3ZQMtOipxmWa
Qi0NBw/DQGfENLjNwyVdn0JsGzdbk40x6dcDMADFQ6NjCM1MajcWGJjcjpY3nrv4B+bhdTfUsFYw
loab3DyT6Gua8zc5aKMn4kUA7QfTPhOma0u92rVdV+kXJMiJbDwEST1v+wA29140CVBCaubl7YtW
OZ0stPkd7yCEboEyi9clfB+KV8h+2ObZQFozxub6ElaIEV5yYHa9cpeh4UaOO+YqxUe2FjNqCEtD
kr7BXrhxCVgML3s+HRfSg1/5TDgrkwTU5UlDylHN5kW+RZ9gvBZSwZJzE+rIiDnmI4Um0w9zxIEw
S0GKHlXBxikiTDT92WHFLMwMBzYRQ2db9HKK5JXEahuGWJT4vzSslBN9pZdmu01sv/MvCOTDXKyw
vBbi1bKABjFPO4k7BHGdFaiGWIeyx3slaGSRbKbcFfi+SSmqpQNlFmvU0ZnybZPUhLjxWs0vQBzK
u8Vyse7kf7p2madEAjLkRfEF+8dA7K0maHOs0Fv3Zu5afDZSGKAGBpqx9Aois8243YacH4tbNmPr
kEazmdEl5w7WZZtj2ofRKUQbuFLVcBQ+qdFrjU+lWYUG3KUGf/4cyzyLSHcPx0FC6V7MWQui1eef
kAcI3PK5ATT8ExTdvQGXfBclXkbUcQbra4W1H/keXZg5dCCaKrhKwyG1l3C+MbIUgOramR7mhH5V
YeRwuziZYYQQY34QJyg711lgE+6j/t5C5YIVTJ/IImxkSLSXtrhG9xb/H8Kz+I7MC8xDE8xfSY3U
rDuIlmZ34VYB+TM4f7dH3ADZkiJsAPgHgbLs2YSoOItvsIVR5teTwN1SDs6cnBnIMl7V93jDAbX6
BpN3A1XGI/jFnbGsEKRbi1UOp0ou4aTApkEhkw8DlQUONP2thC7yVDWxtes9TDKJvsNYA3w+5OcQ
qAUhlsAJyEJjZdnXkoPrnUFEyN/mujTb8clCz5cmu2Y0zWFf4FRrXiYa3qeFXqvJmaY12SukGMqr
cbIR6Ov1QO0YDwU3VuK4bpyxgwUPlq8zuwWrZLPCTRoXW4jCoaniXtDXm34RYMls0x07tiNx1wSV
YbrrQBkd1+UguHRZzjiDgg/jKKy/eHcIdesD6xP3RXLHhe0QyXMN5ZShUtoLtGdZz6dT5VCXrovG
45NvOqqCiD9jTQUJji9rQHnFrqpinddNr7k7Co1W4SLRu3rcjDAFrDUG+HgY8Hv8DHgiFpAxMFSd
DJb8EJLMfPAJBfcB8J2MeQEz/3EA3oOKS7DPjdWOmBBElLnpWVkVWXrrs1tsJSlNF3UQ1d8Qf7uY
SNhxYh5KPwq6szAuo341NfSIKHAna1uZDOtS9+oJJ//MuRo7qZe7Wp/67MvgikjuRKiJXxOGu6wh
tMBJrqH7a60TejlyU7ki+KLpodiIoYrgfdosc1MzxDcJsuezQGSps3LMxoxY9miCLSA7BA9NqmG6
nJsFn8kMDS3Y22RD1D8FC/J08A2m1BqrE+ZI6miMKFZq/ZpNZqjPjKYjaRySVNuz01q9TuldY6Ma
gCxpCGSMA5EyjfHcymICXMbbpt8ng8mPGoURz0t7iFwi53ktZPZkgQtA1vctsalefpv20IB8T+7A
YXtnN6PF6JYZTKJ5W0FkK4+FO9rnWqsTxRDXhejPImjGiLEcLBXuqETksx4ogJmlk2RTYsoGCRTX
+zW7wFTf5lFtJF+NcrZ8rGipwKb7CgJ3wA+T8A5jGN/RQQur4SmOIB4uibd2sz2QoXE9Si2ct02H
RnudzB1fKC3u1LoiSmZ2LgTmXwDXVa+70HxjePwT1Y1cD3HFWxtwz8beePYEa4eUdBpGC31Pn5t+
s51h/3Or9oiRxxROulxCSSa18MVuI4UnBdWtSYIH5rqQVwWZxSywZhUQnCxivEjH7ls0ocrEeS43
8hvHLDDiGGjT2kcbQ93+pg7pm7G5M6PXILK8TQ4OOP8mVotFjNdUsXVl0tkmvG8sA55rHLXomDUa
Hia0SVkzqMa69pjnIfffwOHcSFJ5SKEdca+d0CE0CMRcXFNtIgpe283/RVI+QVIAIpVF0v8PpZwh
qnqUf4Ivv//JbxwlsP8i34amm449It6dxh84ig5a4iBcerXcI0P8PzgKJ6+/cRP3L1BpLJPp21Am
4536r3AT+y0Y7ChDOY7IcKzwdgKpeIFh/zis1hwX8zQaXQgQlW8skZgZeOQYw0SQCkT2SqXDmHPY
DYSXqfCTspgM+ip4KjXBCtWqbdzmZY1g8iAlJc+I1/WIPdWOfqrhLjurdyRRFvlcXWQxnhnehk2E
IM6LFlEgzuMT7jv20gYBgLLRSrLcz3u7lj+yaLhuQSXCpWFiWG7Hrgd/IAimjayJfcPn61bzkQCe
w0BPUPYEBtvjAqw7xRnfaAgLLCDfOstU6qQterCp5A4aY1dfpVqY3TY1THks4K14iZ19pyLT+rQi
XrShEiqn4KtGF7PkEhhdrUfUPMm28jydbWvic7XKxL+kf+ISCeoNKy0oh+8J0O7V7HBGKbvJgcIc
09VMe5MY8dKKNV8F91bbbBb5Hk1f/N2VTv3VlJZZqrjt4EcZ+D/ycbrw9YZTGOSrac8v4bHvXOsy
cRJ9FwSesWZtC5ajpfPJ91ZQ0xYsWLB1pNE0ryPMoe3KU4HBHSqy3A7daTEYqHcLjtJXndHJB5zz
w73ZTMN2Zp+7DqQ5HchkISh4Sshuh+agJbs4T5Nn5oNznSJ7QkUHY+gyFoW/HR232clyNM6HsC3u
YozNWSq78qqcbW/Zj1FcIv1qzaPt9FSysKvthVub1mVpU0wGVU5QJLDZHp3wfEZU3NSvEIh2a8Ms
urUW91RCWjhurMGad6RBjJyxw3r+rk2i2kB90LZoxOY9SbbzD51Yv30sjep21qfwotPq8rzUok6Q
PqNNl0Qsu4QssEcil3JpKP7+b5uZdh8fNcesqg7RBZYeNQHNgV00hxTYZigOIpRDXq48TrSo4bFT
v/GJshx0cLtcDqRGY1Cl/3hZJv67on62oir/4o9W1POyS2TyWDy+WVRf/9XvRdX3/2IlxP/FVoDy
27AUgsMUxgzfD4QK4ifNrt/gtGX9pZpLKMtx5wIkDMDpfi+yJj9Q9Qwh5dDGBMT7V4ssvkFvEByy
q5V7MXoDxbWg2a/+/I81NqHu68rEaPZOEZJoyWnduNHjej5SxFabsoYRuXAqT3+SmhfecRxq9pMo
QvL0kvCg7MixnvOM81J3i21mzz0YjEGqs4/A686vBIBqXDnJutTbAPV6Ol4i++1+po1pnI9xlD/Y
Zt2uK+GjH+frP5a6HY+rwvT6FU5x2KVFejNsW6HNu7IW7m0HOPoJHfBkl2EEbNsFlWcYGNN3lLF0
oplZ9lW1HxtjvHIpfbbR1BED1bbqubjvP6bIPyDwJ8jey/XY1yx4Bewp79pTpvLEoJte4a3eWCqR
8AmSV49VK2Pw8ZVOMGZ1JQ9DG7BXeiI0vNWT//Fu5841ZuXwvR9ISlYGEZOKJdG2PuYVt2Rm2NsJ
pOLm44v+w+Mpxhg9bSaTr+vqz/+4aKqbchCFzPd45U2w/LqGEE4d6cSqG51m+gQn/aerKR8rlBBw
/zA4eXu1KPDJ5RJpzjl/QIlcNGLejG5jDJddHnzWnD7BlNV4YlDCRTzEHu875ahe8ljgJbev4zG3
UBiFMieURKgwWeI84ikeL7umY/+RWb+bc6+taCC48l8/s6NjO07/BjdiOAQnrzU3pDdBVEr3NUmr
8QpzJ7lyozC8C9yK+OePX+f7OUQjFeNvPGqQm1ABvh3gBmzMahs33VfGPF+jypLkhvIFV3GVxWC1
iZOCw2Aw88l1379YMHwoxxDhVSzRKReetI0hiQjN3RdD3XM6420OVjfgx5F06b+71ktWFfUZfi+8
XoMIprfPaCcIwvo4SPYYRSJP51yJ9F5vJnVUtO4/Hs+T9fY1FwvVjm37nm47p6KCFHWl1mjMoXma
BwO2jicOORR2Y/XxdVR/4A9k/vU6VOE4c79MV/PtM3Uu7kKYsyT7UHf6dDUO9BtJFyk4mvWWcxsn
icA4EMdBIGoiecO1LqL4E+LvydxR9wBpioUOWx3F5jiZO/2E3qp2Wu6hlxTGBsDJAqladETEJg70
vOjHudb0yXr+MoQnjw6liAeH4cMe+kJo/WMF6iO3L2dCqfYx0NYXkmnFAbfm6QJHmxh1dEViR6uV
I5G+8Du9ZTh0U78f3GJ8Nty8bn5UJBMesrAId5zoxSFMQn6ZU+364zf0T/fJGYfSgGQLm9yCk+HJ
HEK0sZnVdnh4uU/I5+1mCdU34BXl7uBSGKeVR7Sg5nkgoEN2JBUGrpsFOr3v0OidBW0Q7sfEty4C
zZUo98iTwDMFyLLffnyv72ctGjcl/0KSC+X09FZBSLDzyIdkLwKd/JUsQnuxLKRs1x9f5+SrZ8bQ
jueVoWlTyQqn1I1EQ5ODsizZl0M5XwdkKSWLIoOJS63u3H58rRP+Fc5zXAwKJa1/6AT/YAvnS0fa
Y8pyXjbZKvLDfqXn1N05nwrmB1W0JHtpOjMw//xGAnS0HUun/WRgDXhN775UTB1BDpU9NGSDU2lV
jhrF5MsId143NNPey00W0zYYrWofddV8zXFPf3LiEBV2giHQYqriNOL/ZwgEcIhwzmTUh4eg6zCw
7gOzW8g6rZolwheoKybGyMc8luEhRsN8g/41/NWPXf7gT/l8nMnfIai+btxbrx4zTON956xvdBZc
KQbzxuky99aNK33XolY9j+npdiu9SrQ78ifn6wkYvlsAVPeXgrTjxxws6mnWKOM4nE+I2Mci/CV8
zcHOVpDvtiAwLNzN0rDlJvXiDnGP16gaATqxvihq036Mg9D4UXTCuh/QVNcL7HqEtpRjaP/K+9YG
XqK3CAneT+NjZPFlIwOMVkbTJ09dzOJdysj5hTDbN5eFoGzEYEb3IzK4gqjb6LFrbwdo/3KFBlc+
+15nrpF9e9/Qwzf+DVG3zDe+/ijbZGXA5dEKade+CT6PCqjzvs126KxGjHSOnvq32ARwG5NjkRGf
DBKqPsfAu6C0piP7TP5QY6Jz+TK8oTu0a5MIgevKqhEOlRDucOEzItc6mLqA9hUFoiNpPk6rNV1X
VqsOdVvTzqxQNES070WZMSMxvzB0otuNedclFWM3OdglLBtdj+9oANtfOppoGhGmenFlZaYH+8vm
59Asjo9uW0Ur4qeSp0YPYBOGTTNF2wCUmLYchKrbNLKsex9TEXOhmYytsMzkCQzR3BhNaT+myigB
awRJVHuINdu1Q/utXbYZ3sJ6X4+XpMP1xEvZRvId5iBLE12MB2PS7XxtqXkohjI8+B0JXXSn/TZZ
zaNBAUM81YyhJ9LsBUTa+RgNuGHAyiQjfdHSnroWjoagexbUOV0sKyzGeACA4nSYw6Vkgq11GVeP
MY26HdYozF4HcPSK+NOxJLOME4PrlNqdG2cMGPqW6RghyDhkPnJlomhXgEIjvNu83rSpZ+zInivX
oLvOctLK5prck2Sv+01xNkTgQQnOhBg1S/2IBdB86GgJ7izPCe+i1sOoocsea7fIiB6MsyV6EO9S
zN42S2aAINKCt3qSWt8IlqWFZIutXk4tqpzOglAwzkuTM9/SAOnZ0BMRS7vBvBFqoG0+BEl/iVEN
RCEj2MTIwzZDF5cHOJ1Qo7WuAgEbArQRPFae+c0SGXW+mvq2W5jSxjXasb816N+ORGFeNrgFL4BO
xlU/+faSDYf+T53cu6EriHmqzLPcIWWpyxyEtSTCZoHQlxlRhguYcjioVGS/JkF8A1H0KajMRwQs
WI1pwgLTJZzZnHtzr+n+19olKxcoqMqX0+izq3WV+V1Y0G6hayx6MyFgLRlWme3e9X14VtJP+toC
n+FSMo2HGM+tZYXFwKoU5nThJpZ1bHFouTaSXB603slW8+yeQ4fHYH9BUp6Hh49aRCL5s9azajcZ
ZUrHOuzDejFFFjbxpV0aC5rj3nnn5NxQmUPRgT5kzvfOjAX0SPpmRxauGZy1hlHTwnVsMGty/VaZ
p+f3TTVF952pD7fQjqgfSql6u7i+T8eMULc1BFpvQzy2/4zZWLMfc3fcx3UguChV9LGJ9BvfGYYb
b5imtTV33VrtP1jblhU6mKSqxZWEvLH0+NLyva2B0S7MrAyXzUQtQpwje2HhSvyxvISlqBgWkR2y
I3i45O2qlKMPcFW2EpR5m2DW7S1kWrtaQl0Rl1JvH3DWqeEvJP2FXc9+uozy0kdZiUUAtiypKc6I
Bsw2RUpLSVlhbVw0l1/aNBrOrG5ctUk4HOjJ4aNk+kPw3UpHGS6cwpSI3lkn90XQxAerpm5fmIMv
dzO+EnTbqR04IuTadU4Lay2m5mtR+s5GF23/rcOz71drj8Rmu4Vh3pnC8b6MwxzQ1nPoOU8dhnlh
2VGPIdPaVfMcXIwkHV5jnolrXVlipd7W3o4TdLALRrp4i8romp+V6fvrClbroYac4glbPwbohIgs
D4xz9GoFJUzhYQGTB9d5WONdHFqhxeE/jW1gisbAc1ADfYARdOClBrej080rNmGo+QU60x/jrMtr
r9VADbC2X/lYIq98bOIx3Csq+vmRs4WFm29cbJto5iT2fTbJ8gpDJKxNQyPdh2ltHhnBZAUPF8+I
0Nj2jsPExq0Dqra+xPfUvIrq3Nk5tWedB1EkF001O7ehUxsr4Q/lNse8eZPP0n/sWh6JhQYqiBwS
AmYIwU4WWYh98otp6qIYDLmI8LOgVTtaF53ul5f6HFL2o8rFFFBq2D1OmVbaCJz7fJtnhffNyVxA
nLKOzkbN8ctVGNr5fsJO5mfLcfy8tYYOIFwbsX2qgl7SmyvY0+1gaIiN750LTuzAymCqHACM8pAb
U8vX1cIRTkV+VblOe+nLkXRPElpw1gj8nRjnZk/vS8PELfTPynoMj2kHtmtHvXjKitpz19n/sXde
u5FjWZd+IhbozWAwF2R4RYS8yxtCqUzRm0PyHJqnn4/qrnYzjcZ/3zcFFKqkTIVo9ll7rW+1gXi1
E2dtjMmLr8CpMjraYTMdNVmjJeVl9+L17Y+Kb73tRGOXUeAsJuVjsDg+9Ja9Mg+BXjtClGOWBQM6
RCKtnY1NofyNEc9ZhDFsy2882xYVxZwawaJMthiVncAClJIk88ULZPPTM2pF41iu4TjgHShSC0SS
Q5m87RfDnaGr/ifeSZ7ZouStwUMAIyWwT3u1pD1jp8G6/ompwrdDnXKO9CvV4NwNtMfg4baHmmPS
oH0JN60vk9Oa12x05LOWxOqn3WX+eyIDdtV1DVJsM+mL7/Dawy/gVRGKSH3QXJt6UjMPEmLZ6nUe
jOyqF5XYaL4qDZp084ZG+sKImKKSK6AMj1JKgaphivjoNJjr+VsNE6maXL+A6SjpPhx5ZzTmPFdR
KaW7OiqA6oVGLqaDEY/DyeiqVm5g/Dc8zuYlefSt3JyjyTHlkSZWXiMG6hDXZRnw9OkX7Ylacn0H
gIvfGy+FvUXg+NQumfwEd4WhoE/LTa1VfAo4zX7EUEhodGHEuawEJ8wkZjcdXN2KX2bHtD40s9W+
TFeO5xgg3pODJyQyGr7tRDzx2YBUSJmm0/2IwWczTupBxGr2mcE43g6xq+MTEA+u9ZJAsgznhcdr
XMZcVNULDYx6qPvag6emAlBvTR+u5+/Q8t2wq4c5sgu9Yq26+keJq8FQ7YAScsamG8duaNPIfhal
mdaRxjk5lOnQ8KpMDuw0zJ10x9/0gAZ7zvJ2JDoz2BU4OKOick9mXzmRkSkjrBy5wwyQROClSUPE
XM5U0xo3s1Pt5WJ8LC3fOG2kvzdnAQu8wrZjD9lEhAK0GcS+5JLX6ktrdSsUSwUtRSnzlCHsku5P
p1PWzYB4gZuG5qRm7udO7gHY6D+LgXQQZ3zeOgxCJ1s29rbHUoV3YOjP+jDl58KY9oWbMM0zcEUc
ql32PdPt6IKzYq/tHhx4dpFeKZ+jSbuBcZPygmjiu8nodXKaOeuTof89dFqzben22Rtu1oSVCH7Q
9Fvturl1b4YW7WBJ9CMr8ntpaR+Za++wnQFYksG1rvpTpYn3sVpuZRGfhsZ9brv4wiMXwajMhhu3
W74IA7xgBX/wzHoPFp30ZV5+BHrGuqlApITQ9dNwWKYv3boO0gxqazBsbbFT/cThwWClJTzkU/NY
uiDRAlPf5bK9mVJvDGH5flYqIEpYoWqHjsaJIBmlfF2s5ROn19HNpbkTXkkJyhzMyavONodS284v
TpS4qHCe5xBnkrU3KC0V2dukpv4gh/TsiGfdV/JJ+MAU0z579KwkPXhjUESdUPJNMzt/O41qOCjO
MGcpOw17Tr7e5rN+cqzMe3N7u95nQIn8Dezb7pgJF3l0zNfjhBek074ZDUborCtsHA7uch6Uo3U7
OpWwBrjBLzxvs3bCrIygExZQY/W9qczRuqF0ou9zIMNquiuxUvD9TFHkH1D5cRnMuREPx6QauKLJ
UrRdiKpp5wOMtZIai551XFgwDx08CwDRdZCDRzxGa3IR0klKULgfOXIWAcA2acbvflLEX5B2uQH5
U1kxOLHPQQQ+zmpv8cloRgmXvSTDG5foTOtOY25k/C4pmtnG1NcQbjfBy2XLdIVcxBFYxPNFsx1O
yZmnbSH9ufqVSHamtkMwc+yQHo+lsc+tqDbW04mRTep3vpjjbe7OxpnWnoW0Z1ec0mKM30FBInIn
YG4ejN4ZtpSccBJJFqX/bJrRdS5DqtYjbzA0wGyctn8VdLxs/FJz9T3w1+7IbM+31sh7AYDlgL5x
5mTZYenmfDW6ww+3rMxN1jH+hXba3jndEhWGqjE8JTlZwaY7mkXPi7S34pOVOogCrJEvvvTQCNZN
zfefR8Ba286N28HttdjZFKXaY+Ku3r7/l8CvzAfd5djfeHmwpyR1OZhW0X701cAZbOpMVALfGm/H
hbFH47DJrmep3ceg4MNks0xNL0EjulYQittyYo0CIAlMIv+69ijrtBSnwV4L+CtW6Vic3GWo9y55
qtcmG/gBspzvyHNkue8RXu6okTHeKqnzW69JOh5jjPHHjijqXTEx74J/0g8LBV6XqZ3nIZp0fi6K
KeKn1uHYJ1TaNpEz52LPqMbZXsqSml06isYizBZUEcRLHgYSi1ysYxogeuGIYxHTac71ry/aOWiS
9gPxL8NnlqMo+ssNbtOejhjcn0gymBTIYidLA1h3HO1zKQb96mASvgGqzYZscRCv4qU4fV93GpX3
O5r4NMb/oXwpu3K5T8mAc0ya6ATi1dDGX0Q2+XE1jln3pVw/k1KyZTP4V35X07WBgXxyESkj22iX
i1ljqW5WKa6X9ULCPQYzWo5k2ZsM8K/NFTDYazVpQJv2fVnm7iOAHg1MEm2Q7LzR8z2KNicCxW+V
zpcUtd0dsVbyX5uBT8twJy5YAEEzmV+da2fpAmcjRk1/Sw3Hzjf0JgX7rOe6TzXGa4O6ce7I9cBv
aGb8tRg2olLO1WQtfNO1hegDKbG2NrzO1TM5M+McGGN8UmncfMQpueY5Trl1tJRbmJQxu8lxiE9x
azQfBWk/muMnDdpBr+iyCLsyNh44HPAT1ibmrzBOkoIJGMjsHmOXeebc0r0OwfrxVnpZnCQFWRfV
N+bDWJCb/r5hzb5If1VgOD4givNH46gjiz/M8XFAcq1C6Wv9xwLDLIGXfD8Ivi7osgIrtf+TPLyK
UiPj6DG0n7XuB1HAMm/fqy4+6QO/HSCD3OwTd2As5wDFooYB2amB7Ik7Xywk8Etbqfi9w8CF09pd
jBvKIo3b2nLjk1Na/M0HTj7OhkL1YE82H/GDtai/cdarYMQbc3ZaB0kBW4+KCn/gTDgGkqvEW/Sf
iZ63H6witSZiF8s93XROvGk4ne4kDN73wOaTwmCnPS0cCL68GP9ZGAzrNdhhKYw8h/blLFkbbX1r
Xg4a1O8N+CCOfb6bKtKrnJMjDhjTG2yt6cdE16Ie9gzktLXwktmmjBW8GdtcnI1e1dd0HORThu/+
V6vs+CtrpuCknLScSS7yZrKzUexmx5uTEOdad1SBiN9z13HqsO+sLqa/HIF7U1Lk+lf+0X+NDv/J
6EBaiuXNv7eOobf/s8fhL1/wp3FM/wP/AE8g30bp+lv4LnD/4PRCPJaQLJt1vA9/8zfY1h+k9Rhj
cUUEMCTWldtf/Q22/gd0s1WbB3L37Zj4n5jIoET8s7zO+RWVxnLxOJBG8nBQ//MibK6GQdVe5p90
UPY3Wt63m7Ewi4cJVMivqlYL2/EBf5BXriRxYMfF1QK+9J7nLiCS2Ou1O+pgdFzM7azubGuIX4rF
jO0bgevxMx2yPDkSqBVxFNcMphF1DMlOGjGlu1PpcTAZxnvZtRand05n6PC5X/5SanbOSkj/BYky
B6pddn4VDlhE5g29fFXE2fqYBnZ2VI4qt3lqCRjMgKJ5yFWW+wvLSfm71r1jUpbLNQ8m9Uqviv1Q
xBo6hURm/xqspboFtHMpSkk77Vxn+TstT+LDjhP1OiWCuAyD2peGhMidxnlahN3kcSxHAN9MM3yW
3Emmy+KxTedpZ89fXqVp902dj2TngAddFY/3o4uriybQ3ifsMjaWfTbTvID3nC8cHIDop5xNkvpQ
YqzYOipO3/GtJ1Nk+RWPSM+xPHzvbvlIvX16Kx3OifjDkkM2lsk+WQL/hMuAAaXBlL5ZKhwgVZos
+LoA27Mbm1OTBDLVoGzfi9pINrXdBL9mHBYg3v3O06O0VPLGpac7MuNCnPD959u8Z8oNzaZxo1IA
rukWcEROPvMa1oPWv9pzE2S7WHnyQXmVOABcI/Sh6f3PVIPDzeO9witmL277KMr12Ov5GqPvxIcT
lChEWluXtFsBng39ZMlvM5dBFPa1p95KqSN1SbzxNwaQ/1VSnSckLiCrJ0t3Yxit1Zhvy77ubmt6
AaJsygTnMbcVsDInRmZIOMNpyCnbAKUzJXf+0H5RcDvLgz4sImPut5qvMSlKgmIjg0CY2cvwWXeW
qx1iRuaXWE75UVm12C7BnFvHtnbVB52I/p07QsfBlO7sAs3qCO9Y6MxGE1gJ7VtYKuCQJfkL4mo8
qftFg+OPLxnYzrD3KCV8GGcvvavMgArfX/x2TcTyFB8yn+1k16nGaXGB0IwK4XpVfE16EWzoimaS
slECR2d0jz4B9+fE588gTLWBnv5oU7WxxT6PrxNJVtWHuDZg2jdxFZI2cCMWXt5pHuxi11cFAmaO
Z2jmxdMmZLw9Xh/IUTi/AZlVGPRX2DVLAAgug7mF0UGMPrGITBTGjTkEBu4jw0ONtR90OziUo+6c
F3BG0ax3+nYCSXxwJ8HnLqcJDIOyUXpqv+MKtGuhXzWnmd1N30s0FCgfuyxfBjZqHc0g+ewdrSkY
z9Jass0oqmIvHCmxX1aLuHFxeZ7MXFYPs1EjoGeN6+zREYcHLejvl5QbswCwC1fq2dB4DJR+QbNy
Y29yFwRVk+X9kybN8lqOkxdRYAiWanKMxw5RAhWiqsswAMQb0loxRXEBQYAFjB8p06ZxRhZ3ll2/
BHZXUuDBja01Fj0XyYPr1rR/sRGLCODVUQ7KCaG6L/1Dt7gVzFUAQ1rejE86yKONrubg6DX2sjVL
V+0JN5gPbiuZ+Uv4gbPdOUfqtSvORAEUkQTS/cUJCn0rpnw6z5WzvFoQuN68CjdJWnRlSC1KevI4
Ej7hV5Y37eiWEw+pnmeK1/DsCDOykZ/6gnTOnZ8st3rB3ZvVCUZXxbOxSFr/gO/TPoC/zs8ccINp
m/TJtFLtZUSfQRWNvcNAlxXiWgGd3nvEnW+KzmRWCkAFJBmk4ZilpUNQh3AdtSHchnV6P5YpOP7F
qgE/JCWftmmBCYp8LQg+s2xe6ygshW8zIwYJx16rz5mT9rc5lL1fSne0LZkuCigHU9/qfrsu6Dy5
63q/ehON79+lQ8KGK+HX/5Yjk5uO1K5OMdW3hpIZHZCJ/oSVuPzqZ3t4JwJor6vb+l6INNnOhtB3
ZWvLi1oG/5jrdl+EZaEVW2SjkodumsnHzLaak08P+YdF3uJgodifJ8LgF99o+wNKr3Hb904RTYOQ
3FXj/JgYleuHFXHGKxvm4awDPT/3Thkf9JRYGT0WBScnn0dmmdwaQZ8fMpy6d+y1PD8sFGJWwjN/
Y+WDyTmL5pETe/Z0R86kumZmGT+n9TKmhK+c/gdO3wwYg6ayswnP9dCbeNeQJaaf1SCLaLHa5clS
lhm1cU7ZXom4k2Di7p8FfbrnJY3HM60FK9nC1XOuN5E+OK40Hs1EmeRG8naDexzFzp2H9LUVbX9n
Le50l/ZNnIQ8mMSBN/r0gRRYPlmp7RFtc41pO44WiRvTpmKUq/JEVef9IOc+v006yxiGN124QWEC
aBmNQn8j3F3WrCK9Lnu1HSBNbEkbV/ImKnQ/v12a1UxcW7LaYkQXm9lSE0ELfVp+sS5wt3Ex17i+
Mx7BKdZNzjjdCIEnneV+1KuncZrEPiOWuOUijY/8KsuNrOvy3mrnYePU3kkmWrsRdBP+xVD43/n4
P83HjKi4c/79fHzzux7kZzH/kw/4L1/0pw/YoA8UE6aDmc1xzb9PyX7wB0ndNW+Bm2/tnvv7lGwF
f6zRXnxpOj3XpqEz2/49asEITkAC166BkMpX/Z///Tn9r+Q3dvaSypy6/5d//ycoxL/6e7BJMabj
ErXIRxr/D2yLI2gKAzNOTqxdhjQChuvdjwbikwVvd58JphNkrFwbp2MrbHsM88YPHrDNDofOq9Te
EobY60OGRPQPH+P/zyxr/sv8DqKCH84BCMThHYbmv9pjpp4zcWH67tEjwt7cBrw2bv0FkT8kLeHQ
CCObx8xgWbrNaEYZEitg/mIZVfF6j3/5dW2gJDm+6LYUZVXe69LSvjGnYgSYiUP/vUpJqtI8qlrk
JOVq/obGXVO/pXfC77WNTSG3fxiLeNnQFVUP2BXKkR4VHnhe0T2ns0q40TW8CGyZSvHg4wkFa86u
vWKxXxMGxBBKx9XMRqkLkHFl2sltQD/FHVqrfA6atgzHTlRqLWYpkxBhVvys5kp/sGN4Z4wZ2POi
LG0YHElsTsZOxWZangarKYsd5UukyHJp2ff1uqbGokCKM36Z4kQjt7t0J5Hkxl5Kq//M9LS7DSpn
2kCtvzGS5tQ2bv/k1VTEEcKc914vh5sY7eU0aUrbZB4Ah5BVjXsVtjWf6yTdaVle8MaVRvPAevpd
p7I5hLveNFSol+kbVV5Y1nTpjBcNF879IotgQnaYybVlajon3vKoy6S87WaZhcR8ay+kPslIdvjF
7Z9dXyGstGkfToBKKSa39Mx90P2ifVAIRlEV+9WdoxYvpUq2M4oLL+Hees6TLg0nqqBvl0VsGcuQ
2oNyfJp1nZU5PPjj5LbOviyretd61KlFRufSyc7AvV1qHB+TFeO6oZwntBZdMOqxTGRqHiP8oO49
n7q4oVq+w7RU6qfEIOKJbdU/pXh8kk1c6+VbOxj9U+MxponR8JyokBqHgz5brlZtTmcyjxDkvNTd
2aA6t5Xgp0eRHaJyVt3WJHfpInoqe7eIEe5LCyLjo+CyB3nYTdHAlRYuxD8edE+NV4AR6sYZe7kt
7SzY2yItt4PGzspk9csPNFgPKRIQ6s6CDt5lKZd0V3mEynmhApUTNgUtfJNIm0pCNX4gt04wGh9m
AvytykFcmCKJL4A27Y0/Td3BptxijOhncN+J5CxdFHupcTSVm3ebZrTmFPHZq+c9URyTPQrVIH5o
isozI2ankiOLFcybMiHbjagfa0/O1K8SNi1IR0pXDNhrTuNsJz7Ho/KWbo2Aluk5YaJjuzLy6dky
JgWq1pObSnflbDr5mlu2P+nYGilZLMfuaaFM6RyUQcDHtwgYxk4e7yiiiiPTz9a7K/WFHSYEjxQN
PaVVbhj5x3uv1jNn7xWNeyyG7jlIx+Wnp5ZpG4+9fQzcdUvqzpyIW0NrrjwJx3eVcrQMW9+d9bBi
V2hsCnYnQUQ8Z5wxhXTeD7IUgdw4gk0Mx1PDV1eqfMg0G8wmYYUYk4eGAo5+nhuOIrjylTo2idtg
iOUhUkU5B7VbhwNqFyqkt1s4peO9S8SZUQi7Hdk0HPa3rJnb/WhCCuXkrRqNKdJo1aZlQr+6PA5u
qjQoEZXjkmDyUIuHTFpDs51K07rEYhRn2p7Rfz1L6LcZdQxPHlmqcmPIzAYiwH93uUaDbUf8/aQW
p7uMZpreZSZgLCLW9ZPvDAajnaw2VTsyY1KaEYROXxSfeQLhgZMn/ZKAxjoXSsFcam+txRkjmoQI
HkwLV8TWw3XML6WF0Lmz9Sr4TSegOM0kw98TPy0jNk7qwRiUODDob1i3avRFyyY96GZOjHgQqX2T
BipnwaQ6mBYNrVix4ab3q6P9tVFV9uDNU2Uc+q5P7mzbbrGSz0NBmY+X9j+aWadowwZq6ey7OS+x
b+DfwrIjjNAxJnUZfGpRwwQ5n3Jgyy9KBKIhvcX2hm3MUT1/XJkM6ovne/AQaOnIjs/tf7j0q3Ke
CvTlTOsMBASivceuMKetGB2x5dkwHTGZxm+qUAb/4KLjOc9NXtAwvXJpOLPJJYW5QJCMwxcOkDNY
0YBJdzbT1YtoiFMAciA+KqZ0FnGu+/1rO2h+ekMrEnxYafFDKsPbsoz7zC2dhK+PGagQk/WSGUN7
xFzs3UHNZ6dnVZ+m6HEbBU5h3U5ae85jHv0QJ87J7MefU98cA09Woeto9I0ZFY4HvW63LWaK60y7
5N4mQcgXLJN5W3Oj2+GY+ePVwSwVmaY0N1U6m6Hs+EcGHfcHWHVx35nWdANkH4NG36b1O74c9ams
sr8pYDxvuqqZ9utc8rPUgHtwlTpWZM9exqMj95S/hQyRnnui4ABYfKu7sXwy+SElBZSxkf/27C1g
x9nejFUHvHHutIwSFzrFX1w4/vVWuKL4adNEzAE1WEkxiU2P0CbvNayrQzkApfHZ7RKqpU9u3xYZ
NeZS6d171qfFC0Eufl3ph2bn6lbT7eJhBlhYUJC0z/OK9hLL7rBy4WCwLn3G9i5cw7i3MduVIyNW
82Nu4mE3SA0wwqDz+4r1fG64WfL6h+WIiu+ZqV+msVLB3Jh0uJd21cUXvXHueZxxF/XzwpFdmeCs
Mh2BvfQHjjA4q4sP5Nj3XjNcFojEv6KREs5T7seahyTkaytBaIrTSJbsSHCWw+AZKVO4wtiZ7214
kI8T5ghQOUCtyaCXpraTff+QBEBcGIqcS4rtdYMZ2jTPGfqvQ6la3/cRXFK4gk5lJ9ughIVItaP3
OeaT+OkHgh03ZS3BybP7cR0w4Qtsq7yhosVYBjvsxm45+tQ8U8fWSPc8sHyzQ2C+0gwnDWMTtMFc
nYUB8DAceY7kUVfbroN7Me9eadyatXuIKxWeN17699y1y0gXrmfH26Ap3ZPKO94ENj0x4lDQNTmR
iIjTmFerzfzVlJb/OE1AaBrhQTOx0QJv/K7gQZsGFg1yjVvml44804Sh2KuuOSu6F6wa4sGwRu+H
iP1837gJsdoiK7RP24i1k994ot6LvkPO1ZIK40VqUJcQCpzPrONb447qwbQ6+W0W3CaUy31Rhmdn
Ualjc2j9vNRXF5UW9pZ09c0ksRfhYwCghWz5PWT/91j3H451hJpcjhv//lh3/f2z+6AE/h+PdX/9
oj9XH84fsIls27EJu5CQX7/fn+xBnXyn48EehENPsQ1Hvj/Rg6Q7dbhZEAH/cubjyPe37cf/5BxH
RPRfth0rBZEjIUlGjoys+9aD3j9kX9Z6KwLHqTpb1RIQJcbZYq4JY8sW+VyfgVzYc1sdM4T436nU
fKRFlIQnhzb6Y78M8WNZ+TFGff76l87I3Vuz693zlDMu8kzU2mhtNsRGZXXarsan9Wb3VXXtfE/k
G3yzcsfiMLuak29FhdMl7ETVYm5bI+1ZwzvWdUhwNCGMi52umOWLAp/6MI7yIaDXO6dvNCleCICP
J1vrfElAya3RVsb4ReopvArhN8FDmfrVQ2cOL65fLEcWDxP6s5fcucJZHnSj7B6mxGL24+Byu8QD
sf/RGk7YBhcoPcg4ahV07G9tB/GvfJKr4OOt0g8HGR6hCPuY+VZpyPXc9BW1VmIzWqUjaxWRgtQz
Hr1vYWly862iBTgJNb2ezt0qQfGIfsYijiplAChFf17FKn2VrZAQ0JBQsgqG6j60VnkLZEh2Fhme
25AhpP+BPwAlDJRL/Fyu8pg/MvBqq2TWVTYuhXQV0spVUsvrwvfDfBXazFVy09DexiJnFMonrNGr
MNfDbTvoY4O+l9byXK8CXvqt5VFpNj/S/CF3BQ1rERZg89bvsBzNqxDoCX0826s4yJ7J+shXwTCH
cfMIshsVsVoFRVa6Awvi1PSPTLbysqzSozA8DWxKWd8DXLEeaR0d3qEQll8zfvkncxUw3VXK5Gyt
XbEm7UClDxBwV8UTETO4o4qkeoNQrXbGKo3Wq0g6rnIpWry2ZZKcfomx72+ZX5pzvgqswbfWmn/r
rsEqwVrfaqzoDJRZ+HCotDQUFFt7lW7rbxXXXQXdeZV2K71RO5/tSYj37oNXqX9Tr1KwbTnt1abn
MJKrUKytkjH0XghA3zqyWiXldhWXy1Vm1lfBOV+lZ70NmHpXObpwckbNfBWp/W+9Ov7WrsW3jk0P
i7ypaT/n+YXMTZKHVBc17xuqLCmQMCr9lYMD6LNVIk9XsZxucXRzMKLqvtOS5V2UrQm/qmynG9LV
yVNgF87ter7p/DbZK+XVd5neDw8A8cxt4VgDgrZaioprkhO304h1YTZMDu94DpccwWuNRZHvxkcr
z2EwBOzdsc30JfhkjCdhPAkA5y4VVy88Rtq7uS6XAwV8NHPKytmC1tQvnAkJC7B7bCNPZP6W16W4
ZRJKbrvUNjeucK0fJX5PYohaN732kF/YK/kSWoai1I7RRM+eTW0yDo5L4k4uCjIxnqoxjpQmHLWr
21m/zWOacyLNqYvqqgGqe8GEK9rQc5u4BcwrYp4kWbuwK2x+lShrPvptNV0sSDo47AonKzaUMGov
ier7YJsbDmMBxr5pY2UGVLuFFmdzh8C6VJzw2uneLHXjtSPIwAKvxeMmdiXHNH26oCn5U8YvLqnk
ZO7weiXVegacXT9BQQDJ9BhDvJrd58Sr2uFhsICuHhi2uNtP2DV7bYkGP6+mdmMrqm4eu3xK/E8b
mxtG0RSlYXSeK7Dfwtv6raMVO42NUf5r9trWKPZAa7uOFxcvt//OAf9hDrB4hfN2/vdzwNPv6aP/
xyHgr1/x5xCwuhlIycDq441OOou37t+GAEwQFoh7opNm4H+n+/5kPLh/EFLlP5l0ZZF6/EfGg/MH
MwMFfzYXKPxh/X+o7n43NfxDJJY3jYOPHBMGCipZ12+R9R/GAp3IthJNox9HYXavSrOZ5Etq0ybW
hkCtxDbVkBamqikIp/iXvm/Vm6ty8dg22qPQu/4kCTTx+vWWi91I7TjTBRUj+MDOlWAtP6S3Tu5u
o4sD7drstR2HIM5d7TmzdW/bWWEih9al4R0XowOLF9iL3jz3JSg14J3F0kA1KyjLvfhtp6910Wpc
2IvTmj5UNuCXIkcbw//rqbAdaeN+pkZs4JEIm7U0TmkwuQwHZhwMWy9l67VLS9tsT4OdZHhB11el
roOLm2c6JiucCSevmc0XG34iZumlMRrWyzbFu2wuvdk5yoxbnM7NOfPyp5huUalCOlaV2KSN03zk
dez/Stwc/NZi9lMveNbRT+JGfg9/8ZEMA7PCwF+h3xdTY96QrV36SLpBehPDUFfRCI6x3ymdI82W
ndQMiLzJD1XStO9TnQ0VmUprOOQkK7aj7jvvs3JstooYf8GRPOL5AElHicxFmHVzyM3xJV+tw/kw
IitVQXJABv5uyknSV/wDLIpmLMieP13A1QJixJfcJxXkwrK/s74Ny7XCu0xw+nOY4hEu3vi+5EDT
TRFExWQdaRh/gQ6Ni2T1QWPb+Zlk4EKtuJCPEHb6sCb1uZd8pJpF77bjQVLvvdTb+VitCUA/qCV7
cUvzC0P1cLOsrmyYYFdW214EJ+y9Wf3bqqkPxZC1Gy+zOKdXZtivzu+2pQi4o9Y1Tejqxrnz0uJm
3MjVLV5U6reb1e6lcpf4bgxIsvT6WnEuZcy5Kd4Usyz2trINtGZ1a+aWu1FKrRJGTBaI2eocy7K7
+MNobllQ6+yws2xXT4sTSi1B11wbwTNpqn2lnOynn4rpNHWkt1rhaA+MLTY2hOQ34aHm1tGGR8Lu
02O9mu8xHODVydrsUBcunv9Md0Orgb4R1lj5BwhcR54L6a5bDf8MxTaN21qAMjn+bpyiopGdkEC8
xgWKRGZ1FJMhwF3TRNTPVkBvCRggDvW4PNdW3jWD4KxpBEfHLmSQoA59c3oy1txCV1KJRJBhWRMN
VU+q1Rm0V2IqemgVU35KhRNEuE2zL2sNR8iF2dKAD1Ww5gDQL1w7hNFKbYAqcNK4A3e87MDjWcQf
vhCuaytUPsFxSgp8Pdl0OXm4aK4m7WAWusTToEbvsbSL9g5EAMkDEXfZtYX3hTrLmBDjk+kjo5T5
EyBaFqW6sST7LG/MUy2TrgKLN/CncWEVzCHj8EkBhBXpsVJ3qEhGpBSXRRKsmRbE6vmXaHmobhOP
9IscsvpgDuM84rfk0poibXb1CSarweKo6akhMAR5NXyHcbtzaYxNvxh6Au61MRCEYnXRjlfWZv17
73C1MH7bKZZvVen0/wXVHpGLUm+hmXvdbPjJivHozbm799KGp8Q0muR1E23rWIrelXZJQr0VZMSC
pdyjsGeY15c3VIfgxcva6Vrm2ge31Ku5ZKShgReyJ8Dqown7ClWl2KDE5De1lv2Ke7/bZGabvVRd
jr7OciO7wM1acyJywSdlVMadqOJn8Z0lp7s2OLd22ZyMALSuZ6kzk3j7wClSewQ0730Qu8s2SREI
QrYBUQiZpNzG42Sa27ipJ8Cws35x45luqnjoN9TGDVconw3TX1bvGo6c+269awuoXvfVoqCYCuDp
GuRJcKDqrkxtEIhzfxgNPV0tAMv6Lll8gnJufc8G4b2WjXOgQT747Mz+noLklLqLwlIHyx/e3DnH
8KHjPTYtdbRLw98U0rCscDDa4StubJv46aDdzNJJd4QljE2tL8G2BX9B8hOYcYwgE/b+TITKL24X
TVeXmcaxsJ6lt8nqCY2pZ/hTnkn80zaTPda7CTK06f9f9s5kOW4k27a/8n4AaYCjn0YgGvZkkCJF
TWCkSKEHHI7GAXz9W2DmrZRYdZVW8zsoU5YaRgTC23P2Xnsb5phIpaUO9PQVa3B/RRiijw4BwwZs
B0ZiT05GT1joBvmUu9aKTwSkQjkPmgI/cMXFbmjCYztNB+xd4Rnu+pgcjgkIphdW32fZjDvTsHtS
Jsg5wYCJ8KlqMEATSdQ9hFkeRhSe54gyKZlDfXvGLYeqnCF/TK3/pcr8Bh2XxtzeyQzzDZdcw1lZ
lxjK9sNQTedG0b6NBRSAPsbeNtEuXChCb0vM4TeCk8mlmPhia3Mm/ybrzbOFDNij4frYieGTbjiF
I/RFT7bBUcI1oshLXC4F613rfVsWupJ1APwtLfpvoimKC9TC8cbigoClknaIxAZyyRjoDl3mpFtd
FD9gk4T7SS7fErkW1JeQtSyf3fgKhnIsNmPO0l+EySslMvBxZa9uUS3FJK5b3bV2gpHNnXKnZybP
5LD9wA34jtOp3JcuB4Zxcp4qRTBVVXTtY4mbAbyJQ7dmmPofanAE1L28iKDDVhufSuRt45b5XSga
icVbLJcjkvC99gs43TEk5ZHZxSo1PgVzw4bR2/dZ5tXbMeE2lE8B67qXla+CeyoBI3NzNjiVt89H
f95iy6v3Xb5Ul8ISGnPJ4my55rx2aTzjffZ8FNq8B41RGw9mGzzCSFpuC7treKBovXFz+cNU88Ak
b3/si/yZaV/0V72ug4fWd/m34PPv1RoQVE6AUcswuRuAdNy6fZw/++j8Xc/T8MuTawx53dHGBGZv
pxUw4HYxDxomgPOFij+1ZJdG09wHO2eJPYErzk/WC6Mm37Vdr01IQmn0NOIN4wVGyZnvGT231dyM
FG+PqLD8I6To4JsuOvMZs8b3XMb9zWLaBvWRMR2PpOvZN27ljegFc5zTDj6/ceNi3wrpMFH8dl1G
hFmdWnKvERKSPLpl1cQmAYeDNqLTIXhSENbWiZrwnVJ2A+DvK+/AbchlytRe3xxVF3JTHwTbPI7v
e0kw+dbvzcsgMPOvVEPMV+6s56VO6ebnTQqdO7HfSq9z72svE9+tBBf7dqHIR9cqG9A66EYh5CrS
fIggYU/fzTIosUUM3f1Cz/4sZvG8WgO/cRp4twv9yph+nh+NbAdYIo0lZzh7o/+GvhOyNxyJm7B3
sydXKgewf+bS5CBFzs1suZWNXMpItTC5G3r7J0UDIdsCT+yuJ/QPKfmvZF2AlBqSaFFo/CMsYvNN
DXnwkFgq38e+7veWb1Fu430deuUZh5wmaHVYfWdPrGbFE1vc8BWdoHlf5D3yrRxKjulqTrxx653j
DzKowRkdVleUTOVjgh1nvhghHG7CJVXnoQE6fZOaNPsozYfnolVYH6rJ+pB4ysgbE3OHM1rd9cvU
P5nBMry5Uo/HoGtCDDF5f0PCsPrS2C4xan7X5H1kt15UVC7BF5yulkeUuhWqB6zQ+iGxWGG33JMG
cJ6htD2iaBFho6dkPlyEgQP4PICV80XHKEK+JoWRLdEYTOysweCETERQB5tZeWhIHTAD155dpM/A
rz2Dw8pwXy4AQ/HE1cZVWU/Zc1y59V6hMXCiapkgmFH9ifIgT4KN4xRwMlHDVU9mPMV3I3/1OFUs
r6oK73XF2Rjl5fCK87aJjNTP9x7ojgtVcyQl/7XtyRwZqwcLCvoGGIw46KAqLvOmw+pQISppcHpv
pbGUNLCUdPeaWspd6bhKRe6C2DUfs2I35tZwWdXLsHGInDwOPvJfIe14PtFQVs0NhEtKOmEyoUbD
2Ox7gsNCJdNwpiE/DEIAO+a4mQUDQne/1c590yde0bGMzU0AiPSYh2kVbvDNjxAwJ8fYel1u7ZK2
q1TkWDQoJYm0FKI6zz72ZFo9rb31IVp0Iv2jKpiLryAN48g08ji5zMZVB8kQVvlOBAnsVkF5aFtQ
02H1IQvqcsSWdRy60DpNbc9dwGqNw+J6aTT2WA4xNMozxZiMht7OLiVBVttYDP6PCvXrd7OGN7hB
Jdfnh6mSD10RxtmzZa18fDzowCJQhAbdsqxVriB4byiNHT3KVYDbe3qrLfq6xyXX5o4G/+LsMMuh
Ihbd8mJysL7QM1EGKHLwW0nz0PBjzxdYhXdSZvJrOjk0zcCXUsnB0ikqR0ZuagHjsNKKTIqCTLLG
jDkdAGM/THR50fPlzbVDdFREAcv50nGK3PUTBjkEBPkuYa/jcN7Ou0mofodN7QwVOWpsLu6nPsnC
vSpM8eI6k3OsCoUxoWBlKhsZwJxp0kOW2BATGze4tLPK4+vF6flahsZ4KIVzY08pNk4k5Wu/eaN6
E/mkEPOxtcqWo9SQXJJdG0wbCy/QjnHT7mU4ubt2xhEKnrU08Xhn6U7HVUprj208noziW8eZfoMX
pzoaWWxHhmYnqeFogT4ve2gApoExOgcu38QOcu3QN24wJcwnqdMjMbvl1VQM9ZYwS5umvjbKXUmY
+7uUnnMVxxmGc9kmx7gxmLuQWqcBGRS5hgSKKwDZquhHNh09458zw2vorsUup6Z6JD/NRYVssmAi
SzrPTOs2oIu/oUMJsXWQyQsxBDkuC2QAHOza4LowWrWdKrPYWWXsbPIytJ+TECW4rTtCRaosrZ4h
Yzy3NqXSdARGgArLpBo7vpkTG2uQmQtQTIq4FhdPAEIu2JWJNvh2LmyqD6TYRt5SvtAkSncj39ZG
1NNXGXCJSIKIlJw3jMhfuxyBdSkGs9kRplA0m8m2d6RXiU1JKAj2wY4EG0BISE5Mb8uZGcOrUU+I
FtSKo0+cqb1sUI0zWjr/YEHF35Jell2W2OHQuJJ2Hg3ONAS7UZrjdddz3s7NUUTtWv6Zgk5iq2vL
HRrw5ZjkgfmusdPt8z4fj5XTD5E2WnGX9z4VAam+9+nUnwMnzzeos/xzultRms7yLJAebGZh4BJF
F3i3FClp11n7yn2NoxgmFLRxS16d1YMciy1F2PlpxB23od5zZVMDf+Qo9ZAZbbv1Ve9fpJ6tV0cN
B8cGXJJe0ALTtlJRPQ7fQqu90rhJNmkuHmuDJS8fHWdP8Fyw1a4dPKXghTY22YVRiId6K4bYfVga
gh/cpRAX9ZySE1g/9xJ6PE6Ye+VZP8iq4/yHggxPJwkVaSOeUUiUZ/ZYO29oc1RkoviNpFE9TpCr
f0hZGcs+qQMa/FQ9OHxPEpMvEvlTMPfo7xvkd1Evg/jbCFGHzIJxBPoczvrUWtbS0LXHlHGgAKH3
bufMGYf/yuKOM7kHsEDhCRaWSxfNdun65mPsD5tApT1kFOaAZxbqXFDQ1wtJlVx14oivSvpXAPzl
zeg5HKwtmB4geYrM2nhiKevdGACQ3NFOk9cCEdsZ/8EfFXBYRCJODjm2XF2y9DyUZnE+u2yutLi/
x4Uc2gONH2rb2FeQGZDo4JbT+UK0BlPdohue19uSxsxmEGstUNZQnsLB3/iWN65zglNeZrkHAWoH
9oNgSfAmNepj3gxHIq6/JcFyPjHgtyU24bMiMa5iYqOjpUQxA6PrXKKY2tO/83d+4ZXn0qX814b4
9WuO+ltOpmIbOy1NuPEuzKH6V0ShDPHs7sCQ3bXO2k6q8GHUpGyRtd6nB+4uFBCXyrjRwnlCQ9pd
9DHCaa08aLQl5ujUxL6YNeiHgHwYkXKH7qzuE5PKRY+srXDfpI7DO3qulOFinW3TZv5WJBaVs362
98j2sk3e26+xO1r3OgBZ5E0zdBRSnPW72/njPWsfFH7PVVt6oqSbtBSjTEwXCAicK0xhBnWWLBM7
ZRbFMfTqK/JzwP0vSOIikWHy3PnIcbDqmEDFWvZHK8SKXGQzjm2raZ5dLHtVVBjL8h3nRzxtrbkw
XhqvUjcQjYxjzoZH68X3p2NQ5OrSL7gi+SF4tWjKknNlIOawq3l+5ZzF1EokWVS5Fdwg+4uv4JsP
343M+5EgEZMo7IzuvKUMfbdMuGbczNf1VmL0/BIAU7kVInWWazUFWDa0XzUHqqBrdk9vo+xaSHWA
NW75NAizKZIiq/E+LbPcZxLHimPGxrWVKXfcumwG+AvGhzlxv3BCcO/bOGn2STv3R+bBvPNQwXG5
Ch41ms0NwiJxn+A32KLEuQmsLn6pptrY5mhJt5YvRBaVXNKNCy041FyWNaXVth9RUTlhP+0TTzVb
qOfecO7UrD8brzdlfkjwoa9FIkgtmloYZ5rKszY1lxuOd7ohL4mGlHpU0mkv2jYgOgKzV2huBpMa
3wxuczuzLjx7WF/ta5255sPIDyC5hsbc01D05IZKP6ZoRIEaGAyxGFf2IIdLn9HTbk2p+wOpvBn2
JAh1ERtWuOnVkHBimjVKI9ED91T9ehJilXmuCs//5qgUWFUx5P1RBvjIWgNyEUURJ6g3iVGOoNHt
6d4dZE/xCX6WBx7TxAMujPCxFF3y5qZJjsEuiWmWUVObTzP6mGJrM9F2C9DUjAP9mgiNOHnLEbSS
EeivH5rj9Y4WwR0stRwRq2eey8LDpiAHfcC+0N5NNNWf8pwTeATpt+K+7lq3XUtU6RqVFJw6zBac
eFXS3Jb4Qp4MJxvAG7TUZdA4BFdAQvqnQhrmtUlX+yCwQ4dcXjv7DrGSjyqPOFDiUuPwwjBS8TqX
WXHed8F4L8QHYVAMzNIGIxcOFDeAgEJDOI0yt8uZlGia5mjQVAU3tgqT/JoKf89+Eiq7vMixa7r7
3tMu33SV7+JeJaBWi+52STqHSO5Zip1NGeoBJVJyjtEHaGaZzj9K5JPPsdVxUFu8PkA+aanrNAwh
ZyV51j4N8Or22mDXTfDVsNnrJuKyk+3MpMsP0tCBibC3ulCEhZ2N2gRTQerIpbRq2KaFb5mXzdLo
Lz0moolVNqui1MCN5xF+wHLSG3eyaOW1O2uIS6mV7IDsISTtTGdrS3qqG0Pp/iooK/sr1VuDTUzL
B5Pz3aVqWr0fek7/lDN9qjRGeoIhPW6DkIiaiV4GXdKuuoJH9d0YLa4OpMIfvdTtI1R11lU4MjVg
AqW7rLXPmtQKbusJSpqe3fHcM3xEW15cRk7PrWPgxLil3qzOoUMNV4byi0v0PK9Ir6zdCGpynwfz
S0LK01Y4BTeDIKesaMUVtTI1PxoZGhC8qwRdCdhsBgMdFpbstiMqxLOia6jZNEWNIjEk1S21Jyta
Q39B5TWcZbEqPmelA/cA7cVxVhOGUd/qhtvAb6gDW/g8o9oVY3ma3BRbVspmk5NBVlDPGotLw28J
VKF9Q43V4qTRpHurCCBiNgtmroXfN+O7zp7mG93X1IHH4jHsxFd7dSO6Rr3Do0ULG1lKWCsP3xsN
D61T6I1GacKuNJq9sArnqEEIOkl+WgJkv43jutsQ0fcGgNENVi97U+btkwQHeuslwzE2xJGDVX8Y
F2f8Zky0QYRtfLVNyyTXlhPyylA4SGTJa1f+pSJ44U4PxDg0Amu+2WA03ViyVlFaGjcBku4tQS/p
WVub4tIZjTcHMMBVI2rygln/sb8t4KlwX37tNel/STVdIg2YzlT5V6Tp/7Wt/6FtbaHwQjn2v7et
jy/6Jct+7lv/9U/+6ltbrvMHCFyTkj94T2w2qMn+p2/tmX8IxwNybiEp469Y/1KvCfGHwP9DGCtY
GAfXEJK3v9RrVvBHCMeWSwk1DCDX4X+VTfApXRJ/k00bjFIn7Gh6ik5Aj/5nMRs+zJI2ZCLu6UdL
qvBL1VE7teivb5eyWnsaibpLsxJks1+IhzQtjBOazPlQO8YsOUcG6EO7abV1xyVZKJ61hQNC+XMa
5TMXIn6OB9OJ9W5sMsLHJrliV9x1YZpITHJof0grDy+FAZMkDWsd4X6ZD4i9i9MaN3cME/yBKabc
dxqgi6I9pB3E4Vl6M0GdKjdp1+uXkDbhi2+nnO2TlMe2TZMRoocqFGyf0mzP3dmQrwO2+Zce+Qi2
SYpSgvi751nhtQixMvtbwBv9+6gSi7pr6ZwlgnypJPXurN6AMkaUifgy2NNSRD+Nl/9gv/okHPj4
Cjwv4GgSAkcnR4Bh8PNXUCFywmbVefeLIvHLpUPIcooqj5WMEgD2FMo2xFpV4S1lEnFZa0pOG+kF
NNSzwhwP8Gznne+76MeXYbxaYje9FoPTvBFEbjzVrdud0jX63M3y/GrAT5BSBlzJOCW3IkqFEumx
3dwEgfrSlzYsRKkvfWR2DyIVtNnCtxwZ9+vvP/QqvJB/qyX40JD11wFMWdhcpZ2fQgVwdgRJbHL9
c5oqfrbWbz9pGuurJZzp1vDBEA05uCY8Xz06wpqLbWX0y76zczhEw2S+ygIzEmJ6KGgJ941zuAhw
G2f+q0Ur8i5kY10kBhypFHPppZ20gI6C+JE7vDiEVD4eC0Lst15Rmseshs6Sgow/FONa1m6oDi1m
xZi2e3O8MBf7rfaGS62Edey54B7xplB8wjsWZdNcgDGktY0uLd272XMpw/yc7pD+jp+M7QHKxHc4
aTZdy1IdVY/VNE7xVsmRFnWmpxOTsrj2R3SfZVdkx8Jer1W5YpNWHm6zfHEvAieBOEj1aIiyjCy2
D24U26eAqrWCYup6Ok0139KGnS6/qkBZXM5BKSAS1vI9wO2ioFOiMqXmG+LzWHxrX6ddB85TZhcl
WdNXH/F/QW2NVyTq8eGEPXD7bdMlZ2dOc0poKPdPRtZPNx2UgEuwxck+W4LlqN11bqIvQRGuuycM
f+1rmBTJpeOocGsm0z+FiXxas1z0OgIHpYlAiPAqQQPw1wmDzTiGr+EbJ8pSy10fDvUBaU35OE/w
epRProgTrmNHNct3+ovLtus71I+OntO3nKPitfREDLXUbJ98Lq0RBS/zQIjo1wmNX9QiZvuCe4wi
zKhcjH9wHA4l3/1lg29vY/bEZ+Jqn3ZzBd9oMlekmz/zUefBmK+cFSLOcjXvR1zJ64LaFOfKxbu2
QxIAEcEcWn4mJ4NrVcBf/xi2YHtAilEivVKtC91JNjEyjsD8GhhV9xTmVvdEibC9RplC55hqM0Rn
266zVy4RB8jqdFQGrJjci0BGHgiF5gJfBGlwE5jt/wB8fjG2/mxk/YgU+Hvqro/fZt9BbeXhseV4
v07tn4ROurU69JEqPiHV84yopx9CA6A17nNgF6uiGUOK13bGQz5n+EbcSYbyalI1FLwAsgakDeYg
0OSyhVRdjPKlGD1CS8KWpMQtp3QgTTDQedKitM7abDD2v197/tMHIIiGt+UJ9mWxBq39/AHqpeg4
syb+qfSWfjflFhQzmST7lnOxWoUeC711zXohPJaYOkUW6wU1gKcYErylvfgHc89mYZ6bF3vyrUtP
TwDqhBzifUux6aH0UQZsUsqT/xTZ8bEff3r4ju/4qM3wMgvn83vXwD7U4mj31AwrrQmhbvyD0RzD
jOgUJHBCSlfk7XRT+iNUrCrgE4i6hvshs/G8qQjA0aFQZ6ULpRD3hPHQE1V5CDX9XWiHQ32zBF12
6Qs+v65ClF19p7sfI9sEX1HmvHaxHs7MZaHYV7TLdDs4uqgP/ugDBMndZUNtnWUIcdCTSC0k04ER
nJOPicqBovceK2myl2U6PaM6J7hRj/FZNqdq9YjWwbYXYnq3Eloh9L8dY9x2Ulg7gAQh5aDi1arU
kRJD3aKqIUyodAB61T5TnTPBdPsx9eLQSN5UTJQYqcL85lDDqlxg6p24YEMurHJ7pCHapm+m7JY9
NR3oXK0e352yWleQ9dHkfnyO6AIZHnQ6ItUqVj6ZKXMz05R/MLnrIGBvvQyWRv7dbsjTbukKnRWU
N2hBgCAznFJcppPuItcvp2v0aOwlvx/EHBJ/2UGZhqENbim0Atbs9Tj46djAWl0NZOC0p5SKoA9A
hQm2+VibaT62B3LTUgxNaNfh31Ah5igmXzzRL3cLNVFSoavuLDVan6tGXp63GclmGxzRGdp9I88q
Ljj1vqezwnS1iKaaNXBulv/+FebM+D5kvmNEoedWPs29oMkOdK3LqxHB4K7yTdxd8GjscoMHNEY2
YMXgysKlGo5BYkzU46VP+Gz1ZdKNZfMuu7lEAZ4dwtYz7mwmlo46wGlvLRe5O8ZXSt+lbY54O7uD
w6w90m1dj5zr9ypRVDx1U3FEvzvO0SSyZRfa85MlKUfaTWBveD8pAq6cCREmsAj9XHTc1Mkg+m5D
ZYzUCO0PDAuYw7AkJNizl/awtCJtrgSpCOFWDkX6yD6QPcJwXsUdUtsBVJgqf6K4QzhnWbSwZlPO
LUj3bVaDDbD89M0gsu9kjIArLeTYzbkZTGxVXeVFihtsskGuDK15SiuTj1uw5IEKXLluGnUFCp6P
JAqi7mIgcJ3jROWCITSBb03gDL1WiB25/ZoSNAXLxPJkcQEmaD3+hDNA/YymzoJ6/BWOEutq31b0
QVjZ144GuYmJCxhyZiAE9IWa5sJwADBtXRQ/axBrFjCehuUur0MqZBZ2h5PibHnEcYowpqPh9wPH
S3AWDIuxKweKXxuE7RbiK7XonTOCzAs6L0sph8SUztUKBsxaTpmbKVEE2JMzvEHEYkYEn5Y/fF+f
+gaA89bl2BpvdOFT5taoz32ql7ei8tGoCCjGm25lhn5MpP+72f55s/3eAORW8+kdtWj98zVVrArq
//1e+wUN7Pvb/7vvX/r3X2TZH//ur8utRxgpuDfPpQ3jhZaDhvqvyy131z9c1NiQGFeRNXPpX3db
3/rDdh3fRrKNXpv75k8XW1u40IHx7KwwO/+/sWl9MOf+3ijXV7QE2X6E/qHxIqPo0wWjtHJVW7pw
3wNwG0O4E9KRBkRnOWbLo0sNtnhxDIVEuG5nOD8RjEwXtDLYK3COtXKoX4Mbo+8Wpi77BmU4bI06
rMruqnQraeBCLyZXvrqomSb0CB72RXub+L5jvftTMw94qCa/fAkCBvp3u0KDcZ14WSuB01sZRaat
I11V3QA4QG4UJSVyDVq92q0q8J4z50+W6IpcEVHZdf7D6DCfl9ufvtL/cPX8dAlDjMMRgsv/GuTE
Uzc/Odl8q8qG1EuD91iDnAPLUzklhhtnxF9PhgyLiN4umSwheZtxJuJ/OIit4Ys/XwIJHfOpiwgA
hSsShTfz60GM+z2rhOllb7lV2JQXe+5wsL/CUBhtvic3B7dnRCsucfAZOcYi61sNJaMjwAMDmbbP
e8Dt4Jca4IDKumabbPmz3z8jhvDP75GyjG071DxtD5HoOix/fY9TSmBSqmzjDV88mqMooczs41AJ
UKpRxVe9530rULL3Z79/3U/fzfq6FO5ojrgmpgaOqb++rkQu4jeGjQgepCE3t9GUZfc1dQC0J6hH
siG7qeMUlegmpYOKhvn3L0+B6dPH9p0A2qQIHbhVzKFfXz5xx4w7eWq/GWRPIgZ2tem5L0wkoz9j
f/DL68ywGuvKLtp5uEeTZlIY7igU8VB+/07WCtRPE9k3OWZTl3KDlenDYf3Tg+i9DNc22onvaHpr
Vx2aVlbxvDPiit3gwFV84lv5/Uv++4fHEeJhbQ6oydih8yk1LOXYVOZIat4cTzPL9zMsQ/K9XaWH
DgYOVAzvm6JmK9pNh1vF+wY4ZlThKjygb/QPA8FaryO/PoDQdJglTFRInnbw6d0kIQW6UPbGa4qa
pjKOU5+uE6KaGohaW1g2Dt3ejLodis0JCw3virzgdLivpJejkjQsVd+HVVrRpG/dhiNTBemle/39
M1vX05/fpWXZFHJMx7V81nDikX8dMAP6MGVyIXgl8E4xCOjEmzwsEzsoaqBJoTS8l6Jo10nTc+vl
l0wmw3/7sCxy8BwPqgwVJtthafv1bQSt6Pq585rXuqTITw+S1YuOxzib/exe2LHLut8lgypeqtyt
WVHpKinLPQZGbkBRbJEWfaz8c8q/qrOlHC+ITpEkBf3+ca1B35+eFw8Jb4GP3cVEJfppf5qgPuFk
XGwuVFwzq11OjaIcbtsFewaS1HYmCIosg2rkz5qZAMw5woo7G/dayviM7Hhiu4kjocEOgqSt+xj1
zwq33A6uaZQnLnXJAn7UhhtAmcjI4R6eo9gu+akFKTNt+w/TdH2wf3//FPBCE84BCzonAQeX9qfP
o+dl4mbqFke/NhSxRn5V+fY3TxUpw+73z+7fX8oxEYkIL3AEXrDP33EVCxj00JQpxq3L0UhPiOEE
X6/il9+/lPXrLYv1F4Ju6IXgv2wQWUzBX8cT861uRzLVvlFfdXPSmvAKMcHieKA/ubXIFmTDiuc/
94SSenaLCnB9V5JwFf5o0r2N1msg1uMfl6lP4e3rm7M5YpE7S/Dsujx+GuwFbdAqThv5TSrWhnZn
d0XgXAkrtecLuxtmvmQwguXyWKXTPPugz5XmVsg2pr1T0i4xOQYVkSyPyhg67zrIvPXYM+ERKEOk
Me466JrODpkY8+i740mqvFgel9IrgLubZbluxRljimHX1HB9qFbPELEeg2qaGJE2wFd+6RYzoQOL
99r+CDxaR2QxJRnHpvbj5UNuhbPeBM2E3WRDy9LknaMbWk88vXSr4mWC397KfTgqa7zHK730l0oV
8QonrJRY4Q9xNR0p7urkuQ7q2HkczdFi6vhBwulpbOuGg9fvx8bnjYmn75s+JWyGvefa1qehgSa0
Rj0ry294QTpkQJMwfZQNuskbxExDq1n+fv+Kn9dYIjcdLvqcRiwE0v/2ip0ig01zv3y2l2EdjHpw
1kUdzTNS0703tq73LaZpwiDUYoAke0UNzGec/v5trIf0n+Y6Z3ef0p/PduwKeIyc/X+dFAtem5b8
iOqxckgAxCNCMcp4b9q0ZY1Ni662dtz76PeMHXBeYtigmSS7hFx4SD8UFHUJUEUkLdT+wLufbFUG
M7deREynPgDKsoUyMDUXDCIkhhA244z0sdjDWH1upibjsBlTzkwEPBX9up5RarVvBKcYalR2oezp
n7I5P6/Wgc22yyGKT82ntbnp/PqJCw/DsEaz/2VEr8zRHNGw4Gg+kjSvN/Bc8KmnFmUX0hSL0OaX
pP84rxvE666zgkA+Ed/Hk7cOadFmC5UsVDf2uvC3CActCoc0zoEuu3PBrIt1td4UrDmomJ2+1TKN
/uFL/LSy0XLEKsuFC4QF137rcw5oa9cVWoJafAl6+gVyT3Lh+gZ6wx7Wqfsxj4Vpzrw3siLWKc5a
uS4pSrZsnyQHcDmxkOzzWw2FouIFToyPbkiX63MglrHxruN24m9lqb1+xDmpvG6PNFnZexmo0e62
M7sgH/cfPtqnszMfLWQvEhZThZ2IU+yv31Y/FZZfDs38BZjEulL1qmVoLeWSNd97xJTEGs0UHJZH
YmrWXb8ymrW0OHlVmcy7BZlQn+xD2xg0mIlO8Ti0n9uMPntcWE3qDNLteHB0KdfVbWDZPGZCapa1
nnMWL5j1scn/4+aI+Q01qcOj6Hs/NfqtiwuPKZGGAj8V4N/1+axL4UpI+dd1/fbPnffnMv2nOUru
F3UytggK9NZKZf80Ry2Nx2L2qO+OlU+dd//noV2kwYQolPtymtT/tCysP/LvIwBOamzPNtcV7M/8
j7Pgr4/dzBEhe3LyH7rBYoT0c98zoDjR8HycXDoA6GJNKjC5MyXpxOpYjnHNQYxFj6ek1VT2tz46
8hijRY8J6cTdSownVTb8rakymPgYwdio/vraklaD8thM+JSZK8yi9etICuquYksN0+IX6NvheDKp
0fJO3IKMyEeUUevt+/dPmwbSv334dRNgkUBZTqT25/sah1y6IuY00yKfPaxlgEhwnMTajPNrVKGO
mummKQ8xeUhLCw2bUm3WQumlp+xuJGc440KRb4Mwu1rpWq1upuS7mdGf1PHgYODw66Z8cyB2q1O1
qgtfNNmfZDmMoNiXKKBW5xKAyam4G/ZauwDxVIscEe9iZVZ07ExlhVFdK3xGYD0GSJ4Eebbg1dJ6
VNCvcCBTCN2Mi9JEIAMpzsksDIU1OPceOR1OsjUna9CEVoU6tWJOpXHSY6L1OW9u/aXUy8JlnaFI
YB+M/2HTdjL39mPoJ3bkVoRvPmivEdnj4JTIaG2nF9Z25taNHYvgqy6MwpV7B8S9TI6+sPuobUy9
XMQwm8yDpa1U7BOjC1JzJ4umcr4gaMKPAt7TnKYHQCUYB42urw3Q4oh431zleerL4o8JRktJcznt
7sJpKYtDnFGzgVTsBPhaSUazye/y1YcR2aryoH6jl9OMU8RQmdv3cEA5TDpnqTsaGn1MR31N2zHd
0jvElVF41wjZjaI4jB7IiRLoT4C1nKc8WXaACWmxm5EhjSkfBNud7Zm9Z+7qGk6efzbgp0jLy9qd
ijbZ5WPS6/FSu3GCRRpFvx7cU1wLuyXcykHJvmesYLBZiT8m23rZBehTkRY6XttHaayWfD7TSWek
Gb7Zit1mW9DZYYEdZTa4XxsD1Vt3xuDQRozkjWOLdT1ITl1oG2HvTd4NlkWfX/o/fxPhQ8mffbQi
EIQ0ndO+LkOLoew89wijEkeLTB2f7gPCrME/THVukcLnolViX4Qnk/FxEpvOp/0yxRiDQ0B7aegm
N7OWWvq3sHVyXaLitQmWOwMCFAbjjZfbboY1MkT70aIv611gcH4Sx8Zy4Thlx5PC5smSfcWq3abu
hWHHyi8vrazNrPI2zzUgth1UNN0lOwSvNo+KJWt9S2BJSpNmPaDnrI1MiR43AIFjAjv5ija75vUq
zAnhFxKtEMgrbvc8WREMGTvIFurh+kN4/xxZNiAW1zM9DW8+/VaCZrER86d6fWJ2SVRRiIkHHTlm
dX9d8p2xT4AKhRpONRaumvPGoQ/VGior//yoae8uPL4259bjs5d0Ma9WpugD72srW78eSzqpcJ+s
Etl9uakdyGzI/lDr81UYIBhS5x0tbMiNQ2UZJ62tDqyZyMosSN3B4Bt0hnZ4RLRIf4vnZaRLc0iH
xbGmqwBaIm8lc0IlFzBEmeYVbP6ofY2NaR1gnjLWbx4tDb9XhtX6aMYRgTs08Z54Z97DWHe87Pav
z/P/mTuz5ciNbMv+Slu9Q4Z5MOu6DzGSQTI4JTNJvsA4pDADDgfcMXz9XWBQKmXqttSyfumyMtEy
MxgDAnAcP2fvtaV0nPaVNmLK3zEHbqD3eW6Mo9cdItpaKwHQhmPxefbEcwc2aBPkxvLhYvyc/GAc
v5zqnzUuKZPe8icHevoV5Fpp3H8eauP08N8O8ulx9D/s4iqwRcUbsGqmgq9F5jPL24O6nfjQrT2P
vEhiOwlUCdoKSQNe8/RFNbPuOdXoJyiZnNdWNMUeWv9UTz6IX4WX8F7bVclDbEHnEDw9iVs6WhUm
kWLkxlaezV+WQWIiiDgdwUZwBbGunT5TinqDNErR1P5gnU1k9vFr5umrPZ0eflzAWN/6yHH5wTBx
+fCjP6WcpxgSl5fBLk/0BoEMrRmkD8wrXdjpfFJnObynE2lWk+Jd8iGXZ0Hi3fF74B8dzq6uT5e3
fjqgxkwsrMTO6kBe3hpEMpLHNdteMIp9svTpIEVl6Or1ZZQjsLoX3cD3m+nAbl8tP6k5fdADV8uH
l5pil0Rc9tY8IRxbfgDxIsRzXdYEl+DEmr3l/deKWMPhQS3sWrAQScjzkr1sJc4Zw8fA6i+c07mS
5V3UB/vPQx5hPOTtjJlT8CTcARpePBdZwX1eW+3smw9UbnkIqrU1UMWszS4hHHTt5WnDlqkvcc+e
l7RBaBnwNaUKLAWKanujuL/yd1At/DzcFRSL43RwMK6Rc927Dall8BAZFiPj6RL2+VZkgVDGasd4
ixmnY3jlEfUI/52qgdagZ2JhM7Di22F5xPoc0xQYZM6rI0Fo9FefxGp2AfE0L+f+ELGU57vRaW1W
GPTSJDluSyaqPGQ0atwahHxyqxqfTH/MWW/IF8YpfPbZJM/7MsWmqtKS/e7b5Hau45BanHI49s7H
NdM2kDb52klni+evDqPboX9onSEd/LP+9NFHMiA4RI5A68YnKhJCHLb+jGUCgot0l8NnjWI5a+jC
Laf4qQ0TdmSX4mJT9vJ5exwV/JCc4DweVpXHn7JyplseuTbQ7hUti8mvrhwUHzzCn6xlD6uxf3Be
nZoss4UZKN6hbJexfZ7E7cxzzKeGYsy2nF5o67kFXeDYKtj6Ek1YNPW6L2lMeBcMJZfrqSdXldFC
QmQXSyVEnYl7Xjex0uQ79nrLwVOZs7QKbBUWTBhQySf8OmGdfMqngfIM0OQQd4QFHCMnX1qvjeJ2
dwVc1vH7W5fm3BRvxzg3pnTnD8IrO6xvoEHRBdEE8p/dBEENiYvcq/nyZ8NFPLPzccpwQCsvXk43
aUuLk+90JPO+ob/uZGbm6MMwe1Uc3BazGox7GC09XYVZtJH/zHrL+WUMAtnNPnfN5TPEApNWu2N7
uXSpSqClSy8gqlCXPxO5kbbWq0sqWXn0/VZM8W5xrROAOwDmGuMtdzSn9MAW0dU31piYAvmVPisZ
bl/MpM2TZB3DGkrHuyGgtmnfI53p1n7q4pDWxF4WSoPnguTWFV9nV9lusyJ7gQ0HEAmroaZEpBgp
C59bVEE7XBNYPBnQhvCwUH9ibvz4JKfvshU5bW+MyQ75pNv4Y7kpS72sf9GULKsJ1f9y8WZdtTwC
UCLHLM7t5e88Cw8Ia2IyLQ+MUVTyCHbuy8QmK2PBpZxQLcbHuZ8ssc25UJerMqqWf/k8ZakpWYki
j44ng42PLv+ynBrJWo6TJFLJsqUZ3igIa/CmBxNS6jPKqziyz7GNLFd5YsxLO7Bj+sUPl7KsP29x
bhv3rslU5Ug3dnnnRcb89PnzhTwZcUtDJM6XfdqxIeibAwJxa6Hc2+K0YBE3tTxzG1pLi90o26UJ
2QF4RiQADa5lhp62vjLusb8LPnM/MJvUh8xOuLmvyYvlNQJdLm9LfVxwRlNwHwERoJaLXNjL8HRT
D+NyTgbxbBcZIAGMmtU2zUuuxt3pgNDdXha9IvSXEsvtLCO/SG2nDMK/aXz9tKH/UCmDBjpFO1h/
apaTHkBxWggbs2Dj866DJBm5GgbIEsfWcJcrqNQ0XtIVbujlvf/N7u7Hvd3y8v4yDkJ37YEQ/rnP
KtXYGEMX0Ko6LY05PeDl+DOzKo9//VI/jQU+dLEoYmnKeA7/9Zdt/R/FdWHRhjGl5G/niAndqlm3
4Abca0Cny9kd+enypYLU5BuGNuXylX0ujn/9Xn5sIaAw4vwB08OHp6vPeW7/+F5ijRAHzkVyHzEr
9J8zj5C2dgd5PgCB31A6/91x/vMLAqqicUAMs01zMfqpZ8GoALRoZcZ3gCq5UWDxjnp0swXL3OeV
/dcf0Fradv/pWCyfkN4tAFn0jLbFkO2nFxzL3E3qvvTvPleMISUBCgw5cZELLcPFwrSDszHLWzU4
U76pyEnnMncwzN8b3exyP/qbd/Tjmc47QtWFpp+BbwRalgHkj8d8ivAABZPT3pWni2qgruMaH4lc
Zl3PQp3xFaQutCh7ExE+xjtojXR5I7lwcLatdcvOfudVTuMxE2FpIYenFS0P5/qIrWM2Oewn18Np
SidOy+xff4ifv0a+OAY0Jn4HWrIWsr4fPwP33bYnqU0f065YVqb5oxASnVcrLGpgIy7/+et5Jl/k
8j/f9386ZgFRYXzBpjp+3vZgNLSYphtW1mYluyz5R601LBlo9NGtc2E4XKp/Wg6cIaYTrbOc281S
BVMkL99GUJRcF3XXLjeMv/6AP02h2Oyh0IgYxvN6VMysQT8e0drs0zhHR/tm5jR0P09AFFhLUSUd
9Ilnegg1RnqzcqWNH1iWzARWJUVbR85hPQYP+WCyXPzN+zpJRP5wBdHtYxAH3WpR0rohqv0f35lp
MlkJsrTby9k2025rY/zgYChgjKr5tUPWGfrrpkvojkarKp7Z72H/SnqruuB+izSIQOtC0Lu5tF26
B+ZNFZMR2ZxN3N295giSrbBGbFA2Q6OnrgXtmWxlbpMGt61KNds91GDT76pNKD2aZZfOaDWOfxOd
JnKFz3bCuY5rqBfjVZGkmsgIyhQ/w79o5khIztgqBJj3SiMXrGefJUZg8GvpqjgVBtTYIcu9/7EQ
nTYLxcfRHNLKZvFlc7fcyAdtG5SkjR1S6de24nBTJPkqODpduZRjxqk6EQxt+d5MTJRzBkWiryxo
0J0EqrrxRVBiuvytadFy40MIfSpFPk42ZmMDx3cmq5zLPGg1vSF2B4WPjyaEGnlfwZvjXg+KJs6S
dTkS5J3t6cij8nxwKFwxw5LLFbmEE/imsWznOy3plE6nnVQ0TJ0Dg7FQFY1TeigBc4JVnvZhE68N
YiMHs1q1Dqom+yZqIxEMoEt812u/eFOk5+YLE4NlJkUVZ9r+sUE93PhfcJv7brLhPEfmsEsljtkc
Egll468Tm8cuPHg+KLdnyxtBJB1pfMXito6ivLAhTnSGyV6WS3/s17JPmfFvQUvw3W7Ap5F3uDIh
AjRkb3O6eygXSacZLglR7zvYJWU+ZOyHo1Ay2cxSEwEpvKvh1TerYko3sUvJDAMXyKV8rOmdkP4H
kXkZmn2uJi1z+sS/DMGAsWUgE9OHBfFZKdG6Xiq9qe6X28bp1Cg/6rk6KAs2XTJCqQP2UZp+BRWk
S5qAt2EX+OOHwtDRF5bhJrwXoKzKXZV5ibdKk2S496aMmL4pG+J9Bt36LDOdGUPDqM/oRTR3gQQh
NUYYfbDKArFvXS2/YP2PztzEa0A9uHb6mktRPiYmiQy1Ms0a24l0d2xXaQrZNaYSYT43BZdjPQgf
CftChXRThLKtSTJ9Dh9uC/JSXc952Ztb6up+S9w9mt6i86u3VKh723LFhXSN5KLSZGPDVhjXCGSS
M91AE0qjIbwNRNqiNxDZO76VGKcFOaiTW9cbL47aAwy3ajfFNXNcyNwuTx2SyubmdbAbeMrzkB3V
K8JZtbcJonhvSfyA9mmVM5DM3NuludncC+xzCHBpspCS5DTJwzDO4Utp1B6bcUWSW2jj6bV78+Ca
UYqPyzCcS5dG2072Xf29Q+x9S/uPaOm0d6J3i2ENOxJLWHfaztNsJyai4q2u6u867dIyYCnYdNOI
PbqTE5Gm1RACW4/iNHzMoLNP52gI1Ftnu9hrG5zebFQykjlW2vHC72HvBdXGiA15qCIEBRvX6vPb
UUNM95i2X3jot1tctmnzYuaduBwD17zofDzHrJ3eMgVN9HAYKUivTFip5/SvDdjWTmoTFpKV79Yw
EA+BOB+PV4/e8WkQ7fC9NUgUsTNrfulA8GHGJUDqEM1zx5mblmQzoOSSaiPmoRgPvkpadLyWyI6T
FbAQsyla68EpnQMBbqU4yLGVO7wO9oVXkt9Br/arN0xvxFzHR3cJz9REXG1oDppAH8dKByRkNM7W
Dfr6KFJXPk1ipKoyGVAnJP8VqBiKdZAlhE4YygERrlqAcHZJ4jpb/ZVtVv3tSEbHbZeCk1kXfZ88
tHCvH/ESYgsDmk3kpkWA1wqiSsnMFCVywYU3puQZjeFwE9kddvl61vlLXol5xZimIlsEbJIQ2rqN
GAOcg50O10qa8YE8HfelC/3xMqdjDwqXlikvGverWBkte0pIPkvQN855q4heJJpvE6aAoOLw8q69
8Qe/2LHQ+z4ZtnNw1ltNeoN+CHXGkMoHGJZir9Vo7XOh/RfpxA8DO90HIHBzuG+FO63ytkq+TxyQ
fdoHSm0p5Kb7XkZevJJuy8y1gPlvplqfA1ETkMciz1rhkoweorqPXp1ROF9yGTevetbzd8UJvtFB
Y1+5SAP2ZHjCo4EEdU+FiAh7qPWlIbvieSYRZ++g1EcxRkP4mE6my71sZEUy8yyko+MV/lnAaGUt
ujrfF56SD2jOHN6/tg+WWZPB4zsdBri4vYnqVJ5ZUxndV5WcL7DUA8AJWHLZyFbZsXbN/iCxjtzU
XSy/SKypbw5WoGRlt5MmHLji4qErdW05vboYZTCcY5VDPt6osN7HPvQwNrgoP2lcROezIeNLvFny
dgbi9hDS/Hhq57D/wg0fuhGudtD5Ro+2ys92ZRR7l8yo8R30+Fs24TxBVzXRyO3mxGiISwjTm2SE
A48ttDR3csjbJ9ErN2F7PM+XMnLVBQKqgv191XxJnDmqWLOrcesERXhmMbVba8D116FOHHrr0ng3
Yhtt3OVE3FqGTQyWm41pT9GUDi8Bx+ug3+KTLUg1LiMRXw6GSG7ok5RHRPn1V+CML/wOsvs+s752
FRVMroL8OEb5YugTVnYg4M5+VkashnWZDuYVYh31kNlat/vULkmniVIruHDjRoY7iLYk5lVpKMin
76B7aSbWmxBzBoSTuY/0qnLi+tgYTOwvJgwiHGvfHHp52UaaUY1FmtgA4YX4HAd6GeFeUSbWYGZA
laaRkHc5qa6wo8pmAvCRFQ1xybL2UGrGsWVgFMI9cDeFNRaH/VJ6mJuoHZuywXciGjKVDwW7apJy
rYDKZe1VKv6I1867taOs5MsQzM0E8rX0L5ERxtZmsCgRL3q20v1XL2P/BrjLkKKHcLYykxph0Jnu
/YCMa9KF8y9ARWPifKaxNSMSgVnszPPQpae/b8tpMd7rzlP3mIgKAr/spIyw2htxUgLgcaPxPnPQ
vaygrJS3zQR8cD/47AvXZtDa5uUQwV2ECEUn/iooWU43CPfmTUNv6pDb+Kt8ANfAZicAi9cYTfxo
hutb1eZYbei0VMWisxK2V133vZuH/Wbyc4jOtMi7hushZEC5VhYmpK1rKdLbipT56qqqadSu535B
jYCRYXQTqLw4qzPXa7YJo76rIqPRucnHbDxzEszoGwhAaUBTK5cWECCJJVsoL5hWmL6mL35v9wQt
RyOsuBzK4SpwiyXxma7bV0sY8l1HlCYOfjB73zSxBYqNBAQFQdIfU6NZM11HTDasgtS/mwy3CSjM
VDhl5ZqVtOcBDWzpMXuj82DlIfTJ7tFLWmuMQE2TMbKwJMg98q4sQ/vqgWksdIu8Dd2XRGtgqGny
kKTiOYkEAXXsEqr7AXEG7rJY7k3uHUDDlC+ZXwXg9SbYctLJ1A7/GjaeVsxLjIFjilVVedW9rEus
ONIHxBlmLssrJPS3PokxjTfYfNpkjK8YEcJLssZuaDcz9xr3JsKCRjiJlACCNc0aTgfOF5wt2fBu
NaK4FS15VtsuCBKis+rmXmGoJUgWCAsc0bpKgpVBcuY5DMZ2Y9dtuSMtCTxmYVrbiNiqiyL2jCu7
GN0LWzB1bBJIncBak2Zj27F+qVWg9qSA2eXKDLgHb8xItx02er85IgAc0B4uWbZRN+BGagtinFy/
02IVwQnB1ICiUZ13Ph9uO9Glvp9hRb/HDK7bfc6ADDeUNIfVPBXyyE2ee3+GSRpXPuUFbyG+46aT
7VQQ+QR3CGxRWWI90zojuKOwon1jRtUuEEF+Y+SmXIPcSR8JgHsocdoxZnPrXWCDTm0GG7oTYXLN
k2PG8qBsJx5XMZEc4ZpAKvcQC1ykRWLSos5G2CcYOq/JFVcHPVjZW5E6wXMRJ9ZjATnrEl4BCgPR
NucOPd+vdM9BObOkjWLl5GYLVjl2KFtZG5dz0H1zi0UpOtXVctMe7e610fgkt6WfMcmkG0xQYe3V
WbPuJAnTDIvmhm5fMOTW2ilZRlb4QnPvCkS8/ZqSbQqpteQ9gLUL0nBd8Lxr+lecE+DavPPKh9YF
qx4lpqTUKpJDJZr+m2DTlgJ6cxzzmfvuIFeREcLxNPrCh2aWG2dZ69kPy+B/Z2EXUyT3GOIaJFf+
qnQouDuw8dw1KkbO1MSeQ1x0KC8EDJiSzHUqmsuxU+K1sPsxW3f0CfUq0+X41vcT1wrXJNs0BYrB
fdeMnUhvzLXe1rl2DnSZEzRP4EWo5dF9fgexouNdFaT9BT4xyVaWaqTflHFreFujrZAim7P2vvZd
WT4FAuxJ0Tkkk5sGoe1qCKx7xmNhhKxnIQL6/ZCWoKni/sDiVw/bsU3JV2zHiMoTGQYhkE46WETB
xYuUDleiJ7ZSaIwPSEo4iUiVrdLcLfQu0T6zkAosXUGNJrfLLlav46nNbEpqp47nx7rDA3ptNxZ2
TDYVccGKRorCLNbSIiZ12hsEHdbuta+cmChtq82clxLdpwGD2AhHEi6ZeBWjeVWkjd/gaDe4MiGw
zWnVgb7lfutNm5QBVEigICJzd4KcR/RNcUGsHx2ddYc32xI3pUY67QDXTRQZTlKJNnuEG+g2yWbg
UmEOgknIAe2ix7bx+11CqVafK1B81a9d243aAwBdZFW99VqGZfeQYRieQCrKF1qSnFzDzG9yJQq+
B9dA70TqA3TVgfELNsnG+l5hRzQ5jl1eTxsSYEfv0ZOend6fuq2GWCYGfRktvU3bikdxEUU4iJiZ
sozTvuA6nElYdWNzBL8Ok4/rDS94lD0pcJPE69UhKnCDjW2cDz53CJbj/qtK6SeElz315Hg088ic
XEiKnWqLPQx2m2+LO17e5K9OqGq9AO96NdUXjuLjzStMbTauWlQrgAvvnd4Tmb/1UZpmzsFUqiXh
b6EtUeKwdUhgahLqxnpsAPYvkBFdEaY5UbmLiBVzijJqqNDdZ30Abk3QRtW0QrM1mihF4PA2qUc3
K7diQDKDqROwbHg5U/kB0DdKP2aMpeMISIrltpG7DSYIcXsGd9VXESrMschj4CY0eOJWruLa2SIX
qUCCLghVRPmphFXudxHgVYnQZFzNC+oUH5OaPsT/B9BU+sZD3npGIze7/GCbFravrnJrmsgudyrU
VjpikiuM8j4nmzI4b6nggGgS2wO9s16c2B/k0X4MxVDjGdLFu5hNWMOxdLGk+9xH1eaDENplJE1T
H8AEpQBlgxjn4P720nfBHsdVOL4aczyCnLMSHP93IRlm3mbI6vpNmkygFzstOwOYLJrNiMxhQFFN
yO5MpV6h33H5Lg0XCmqyNT8IldjHdGzsKoXe/kHZbUTeguk2DVnCZndmdU3wVOrSpV8ZxHYCEG62
M48NajB1xyr0TVh8pqf6R7QL6B5WUiCTWyPKaDX1kWUjDKK3dUzYeJM22lKGX41MzEYI3r/RDI2k
a9CiKw/PB+I4UaG9sCfVbcIaKsYfeIUz0F9iihHHnbWibPM1qC33dUZxwLnxG4tQpTN5BpYYbya+
7I0bEfK7/YAOGqiP6B3mIrk0WIa7Z/aWQ3ob5BVh8x1CpOyMCsY/SDfwsleWSGfaO9rN7z6Af+gc
k/cT7C8knwW9GfEZEK/mbCSr0RxOoL9BEhF3FLjrGO/+B/Q3Fl50d2L8RXkznFv0LMBaIW75Njgu
9sYPsl/t5jn6QumdsH69XZuP/kL0iwKEhKksZyT23TytsGVNR6yeAPxs1Wm8Zh/svijTkT7/wPah
9Z7Rc/6J1SdqUlR3jHgYlAI+ygg00EsYG5VPTBPmfybvJbalw43pJSIAilqKL8MY9MiG+5pPyTj/
N8BeRf19/Ue2HiU1aDy/iCP0JEWbwXrWYY50im7JDXELNpG+vhD+ttAo5DYOgJVPnF7ioYdD9/FH
kp4dd+N66L3pKWC10BdjX0sgIa3+jZPXGx5w/xMjr7KbKzzuBNCkZRGg8/kfSHiEvXY3iO1ATmah
/YJZR9UMCgLwXn9G4AGk7OOtSrOwZP39CYFnxCkhFjSuCodeQAM3/gNzl0VIFuCCQLhrkIiY22Dw
SC6dIxtbQgu1otpWVp5+KbxRDmvum1R1lOcQ2WQbLsfNv4Z/RxfasZv4+AGla5FJJCutyienq5pH
2TdAybOa1iOSSJROoOjcqJRPiTFAYAWaaxD8MVtXUuE66mi7PNcJGUZkZ2iI61kRXPeqbw69R/Ly
B2aOtkBwZsRm+JWGMXmzSZ34r6AVnO3omt2dlr8T5HIdDku1ZlZoX2o6PAEjyLPOSWsfZLlB4VRl
0bj/AypO0tvayALP/Lp1PLWlfPkkxMETsh6JBxgfo7i3VgLKAI5Or9hWYRn/ii7YJLfA7R9Cyv29
5cbWa4OE/BFKxEQW3G88N0wz4dWPKDcUxv2NUOYUr8K+MS00PvMNUDlc/tICIXdCtamwczZhgLqE
374cWlt+y+l1EAHORqVtYE6sxtRqvhph6d7nKWGr648oKCFqi1kWUknSi98mRfNfbmEEu6185QZF
Rs+GITY2pEc2tE0l7qTbwaq77vO0ZZXvQtJhcdK2WDuY8o9kfbSMGpgYNtfuhBZm2g82ZgsbXoI5
9um5qVIinM5RYk/9Q5yNg/fm1W5TAJINq94FAivNnoBi7bmDZPEqkKNg+ELgQIZhRpQqyjlrpmwM
zQmsSOFLczxXpESjoPPt0du5bj2Ez35d9ywqLRkVY8k65qWmt6HOQ2iwIUYmSVCkuIik0BNTxiOL
mrBoc9GgQycLZNKpaL6brTEF3YaJJEq7bSeGqUgZOWZJgdxHJBAg7TXnIDnxe9ias9neavJO2MJk
zuhL+bUJh1jnGyaphHLu8PxkY37MocarZtMNfuhboJ0c1bWvCuygNUGPTAg9WA+NS0kGCiJlZTiD
EuEBSaJhvXwS10/MqNynyaiD9hspRzNJgvCbCv4NMXvgj6AaOvbLF/nUAddfj4DBAr376+ncj2NY
hoYBA22ssxGDSuTSiwX/j1KCzJvw8CRZ8F40YplnEC60KCSqggR3qt6GqdTfzCl/HF4vr4iLm1nl
Yh1mNroQBv74ivTmwt7EWPC9Or2iPslPHK+WzLC7IHUVajFtjgbeiCxnJnj6yP8I5rD/3hxfqu/d
RybfWyMwqiRp/1//G8DRf/70pan4/18+5Cp7k+A2fu1/ftTybn5/pu737L/NS//ywx+2dZ/10636
LsEvdKo8vYfke7M88v/2H//X949nOcEcXt6rrN5kXS+zt/6PMAcsLktM7e/+kOUVPn9zORb//td5
/Z691My5T093/v7vf33+zifKIXR/oU+M7ACDGS6OJUn3E1MYhr9AcUCXgQZkiclb3GCf8Xqu9QuK
LRrcCLdwpOEA+Z3m4AS/BPzD8msRag4IEf+E5uC6P55aHieUQ2HIFNxzbB9D+k8ns6KHn83YkM5j
ZyZIsi1hvedgwJbUL3zP6UdINyAHYF8K4gqtA4Bd/pLnPX9EezOxL7axSd53oKyKzNqxfo4+4sAT
FI5sDNhmkbdNXjjhD/Uzsjzn3FzSxOVHsDi1n0MTuQQmRmQs0eNdhPo/88P7gMbtnRyVvjb1S9WQ
WJ4u2eWc5fIJBQKB5rMuQR0VpiAA8SPyHPoDgBzDSYhCHz9i0Z2PiHS47sVrahQkgjuySmhv2RKb
hT1l58XYUmbFJZDWhGBxZ6fMeHY3nrRDd8tMCsMI8MDcYgZCk7+NQP5wJyG73ckDYtydj0h3wgF9
MoOXpHfRCfFEKPp8VN1ksnkiET6hY/QWVpqU+D7zyrUOE6xbS4o8NOXkBRogyfK53ayQt+60quj6
Kpo045JCP3tjc4NWD/X0EDIgYtM+BIyds+KITnO8dUtnZpRGS5OYewyApGO0hVrrWgG6c5fbTxbc
WG0XwfJ3qrexI2rMGavwBjGEIMw97+9RK3dcG123dYfJOYtnQZ8D7lx98HpSAvNpVhfhOGSksHVW
e9AzkbR0gD2ANZnXBpehWbEXkazQX52K6SW3TbnKFUYphlDaegSyHj+SlbFE0oBDrxnJXg4zgcmo
h/1VM7NvHcZ4vpwTS30ri4kBgRdV8nKIZXuRwp/+NZJY9VfJ1BvFpiPC4Vq7NdtJtjpkIQwR/VnL
CvRVaYySWttXxUs7kS2QdGPrwWmummpl50P3DKi5LNdD3LZihWE+uanDqLbOkGVkd6konG92UmW3
0ezxajAW5b0lbES/bepeWHauESOrJj0znGW+NjViY/cadMlk6bskrcq1X+Xjk1En8kAhHH0f5BDI
HePwxF3RTAuzLe2f6I5k53lY07hsjMc8QVJBvtgSVRXGRk1vcS7eXNHAxFapDUwKuO0mAi25biur
/sL3WDwMVpfeBGPeXXXWlB4CaetoazVDe5nGtQswBTvgkvzSfAmd1rxOKDG7jYHs49JqEveq1a5i
okAxQxI8XlKMtRVX+eNIlAfc5zKJ0DCsihHhjzggRDX50dRWQj0xRpqEuLuuwZ+Bt8Y0x5qNOfLL
+QxHzbCKcc/Ed9OgnemQeml+1g7+jRWSWSXcYF47DozoCXjhPfqwQG+7kSo4jqNpRXYF1WxA7k1H
485u1nXVefcKDaVYTZlFsB5i4HVaZ+bRFcB4lyHEnlRwJLVNh0+1mJIthuxiGzqkckiulzv2GgCR
SXEpH4iFdKpLX/X0cYKsm8kic8WszHt37uC+IZ/1a49AgdY4G5T86tLOvCWeNyo20BWGc0RpB6xO
/lUDr3xf9YW9oRaZ90JV0y2ybxuiZtmumtBLzsOpK28H6ci7EokHO4Icu5ETldsAACwi6UWqQ74h
+c5H6sCVqnqGKX12qfMDuC2eyTHavQridotl6wlzLHkPuXHIyWJieosIHAg8T2MQe0WH4mvqOu45
CupmbXFYdrDvu+vMdJ8iokKovJxo2wzauGLgGp8lMSqCSZnfaqsngiWJ+ZKnd9npi37mGMa9eZFn
NlmMVlQAVe7Sh5GdABjm5msYkD1QheLN4xvDGmDfmXAZNzGsUww71/6Q5zd9Wz+6MbEG2HeDDMA1
+dT3OiPgsWKzuR7YjKzIXtI05lGUrtQowjNMKsV68olbA3neBqs59a9wGnUH6RBnQArPbrEt7W02
8RurmwrEvjAfNkFUpAeZBOTyIb+en9Kx667o2riIxGHMchoR9aj6S9IubCQsqr4z6fztsSIZC8OR
s2kCZT3JOMdk2lh6FVJO3bYErN45M1yFTYL247YwxuEamfN70KTmoaAbf8GOt90aHfFHa+Fh2WOZ
bY1qRcJd8iUwZbLx2EwwBPbs7Yx8egNKYTqW4xxTUls45kjDJP3Z7Y52lN16kqm3Q6jTWmpNK0YW
1VpWZXWvyzi+9WzSXKjq6KPDQNk4fE1RbA6bwnbSl3KMX9KOittGJnRjj9F4gffEufPZr96rAaZG
7/iHLiAmlaRVVn7D/OZ1KfgSg/+kKNLXiOGYehTBG23M7i6kg7me1TjtYPVGQBWC8lef3Ogj0LFO
zSBaexeBikSEcmSNMS7zPguQCKRVe+dB+dy0QV1cOEEDz4bQsz1sjPTNLUuurahh2hgU6o6TsDxi
KcRH5i27ldoPtpnPfhIL9U2Ao2LT2zlw0dlxbsrQiXBfTXTlB+vZw5GyJeqluK8i9D1eH9jf+sZF
MTvYhcWZkRLFR13gry03qHdTZpNS4jn+3hIyu2DaFaHFGqYz4sbGc7/nFjkWs39ulEiST4Lmf1Qn
/7+UwH+sgP/r/1Rw/39YJ9sWJexf1clXTd3/VCd//s5vPG/T/YUKeVEoU95alKO/F8qgZ34xQTKa
WDiXbZBNRf5boRz9YlIMm0jeMLqccGhoG/v03/9y3V+A5VBFI6Ek9REc+D8qlBdo+A+SZg9gFghy
QH1wmwDu/7QHW3iz4ECn9DoQuNLWJZJEJtmYBtceiWXTWdAUTr1TSCNymHyOuErs0oDjnaTv+DhI
ywmSyhZrJsTteJ4iS2G4hPT9bZZ2tK3qjHxAtxLTJZZ/WX7LZuJgGgAf77mTjBHun4LYRhNI0LSp
DK2dfWb4zUOA+d0+71AQ6MPoZHK4ksKvt0zOCCpkSDuxxvvFFaYid20ptDaMHC5NLiwY3iJM1lZe
z8hWJvmslS23NvkX564ezQnjaWh9Z/yo6Acw3N5F9F5hjQ61lzL2TLOrUtMHVaWi2SSVPNdNlQsS
zerxVhOEZufK3jR29G2oR9QaBvX5mozo5V1Nc/5t9DqB7oD0FJoXlym9DXm2yIIsdAcFXLmNakpo
q6vAkSQIWTWcc7spZbeejbiYKWF9l6Nszsq6yWhnH2CtdDf0KHL/YoCj9MYRmS5QueeIYOhQzuf4
qzrDvQgkZuylob4S7uDjvpMhfYatPdrDVZO7ZeaWIDAnlqR658/U7NZ6QLvXO2d5NqZNO667QmgV
XLBYYvie11ZnWfa4JQpT5SmjvkSOtj63Kka2+gLDKukr1E0WVKXiPAlx9IoNYxn3STu2ddehd7sp
W6aN71EdiP9m78yW40auLfpF6EACiekVQM0sksWZfEFQlIh5nvH1d0GWw5Labtv32S/dregQUQUC
mSfP2Xvt5HMlEn8SbqyN+rVWtEYu7q08EFuT5Rb1IbEq1ks1MsZ1a1SkV6g60qNJHBU3CmhLRLBS
nxwwmhY6OpH0gjmo2agx0NcgSscbYKCDq8ZxwmM5paU/V2mIq0iIIyUakgaKze3CpHaXltGNINX3
rjN72twMaTQ/xssHPLLuQjK0O4tRoc7d9jR68nu1UIduA3qAmeykNtvFWdr3Etj7h0a7St86KBsN
F48V4jk7YJwXdgmc34LsvGOrdzh49TA7JtC5xV4W/RsjyKFbPbXGrcIdJJ1ZVuFb2KDZCxOZb/PJ
UHaDLgvf4nJnDl/VTixiuhRlJ3ZwIuzkhtRciwOVPfbkbqvpSRNhPaI8aQdwT8z/BsaL1+Ak2B6n
LpNIz5LlyFhTdZeEDRdo6DufESsbFv8tJsprMwIl6vfSvOLUDjBuSoO3qImcbZkvTAsTXW7SmkNT
L6zqMWnJyigs47I+2Tf0yqhaVL3YmLU4LwmKkCiuOs/WSUu0wZU03IFK/SzFrN6QoB2+0AlbTrQV
x6tySLN9m5lrIWyGO1LXV5t9G7hBTSIitv52V5mU1KFU2FThT1zZKdGAmnpT6AlJZEpgXtFfM66q
mPo2Sdrx2ahLkhwTeA5X2Dy115x00MntgZYCwMtU6ghN9htRtPqnYtkR1QR3Y5suSXfou+wDepTj
NXHQ2usWXePLHUx5X+njRJiJNZQf0qYeAnIQIhlJG+MLoZhgbJ0WRMlSKQdiSDUKnwqDRT9kB/h3
5ZFjeO7ZSYLeZIAgoGNX3ePIZ1ZOkCD5j3gyt6jbBQ86wdgn4UT9Q8fgz8u4Pw+c8y481uWdrc1X
MBQUxjGBs1esCCoEhyDryMwM4zv2UvsrkQrRrZPZ8X4gH/qrFasO83TszG6Vq6qJdkPSFFfFITCT
uy5v7MOsr8gCnu57oZRV7opx1vYOU22GGcsj8azCnycD9Yll1fE1jXlW9l7V30ivxY3LnNmfRiEJ
14H092rYI6HIolruyE+KPWk143OKBYyCJQGLm1XMcgZr+lCmYtgwRu0+w3RUvNSol02Z4QeYUGy8
aMVCr0XEzs0w2cvtXJC5I7Kwu9WapjoFzA7uLdEsqdeClIFRglFg0+J4ebernjTMqS/vEmbZHZyY
SPeIiFVcFLPhJ8IEdV8MhfWqQzRW/IVHC1fkmHlRNw/AaEM0bUXJym8Dn3UtezDPWr2EHm+kvpWh
0B5DxOsnezSiY4nh/bYWSF+6Wh24s040f4vnpruHL8H0r9aCyG/VmcNThBCYYMba5CQ/aAe056Tf
Mhv/RnCQvhET7Q/dYCI0JQQpKnrdXC1FSciopWz6OXU41GoGGU5zHAUHjkfpOVJF7WMOTd6ydtAe
kjarzlZlz/e4htvJVczIuUN31u0Hu5sOJbGrEq2HHL0hitWbZqjS59wp6+cQQd1t0WfBU5UG8amn
XeRGo708Cljqm0gtk93cDDM24652VbNoI1/ybUtv6jS1OxTZgkAoRDUIi4W46Vi2ha/ERsHknaDr
GurSLfSjUIenFZTHYlRk5+XpOJ8gfKG+iBsice1S6tzHbnyRk8WBcIjMHS3/IfKSOliOIhbmh8bP
R4MUFPFt2CHHMRPVeZ4Xo92rcmGjt6ErZW4btvHWjFPzyoqr6iGwSOVwFXgeiC4DlFq+PU5XHDSb
bVtJTtLfK77/Fcf/poms6+ra2/3XTeSHbwWC+Pbbt5/byD/+1t/byOIPaMAWveVfesiO+oeOkZA0
XFtYK4yXqvVHaaybf5j4DFeWH14qDBp4m36Uxrr8g6mV6Tg0BGhNO9Sy39v4tNB/AJDovnMU+cef
fwYiMcv6tTReYaZgZqETUh/Tmf59IGJh21Wi0SgOMJ9agQzbCsJkQNwxkpXb5XghXWFCvr/qtHn2
1qRYDm2UhaBHrH2dyxgFcNBiFMdQeN3W0nyYUhJNAZTC7w3NFiBbo2/y0JxeQJfVtT/rhv7uhIU4
aJWaeT1pJV4NvHNDgfQV9RzsQr0Nd0ZchGgy05pIQs7Zy9L1u3lQSa/HLFi6C8fUrRGx82SFzREy
mcsXWdX2O1OV/ICscNmqsbntERz6KudLb0CTd0OOgr0vkF0S46IPJKa2sqOvrJnlSyTImdQGZTm2
Q4YeJdRM80tg49VwCfllmcubMDyXDbM/IqztqylZ1Lt+bDS/yKzL0AvnrCaYhOw8DN9Y6yH2orra
L1Y/+Glcs+ejZ9o1VlDsx1h6ANnmS1mV1qEpNOpVwndcYOLiprCcY1ikvlFO6a1CY9FF+pECPRth
HqxijT6tjftmLUjGWqpIzKSEPDG1h75dFITdizjKNFKOWVtUm5QF3ouUZPFbfCHn2gTjusHPsx5/
xv6BQlFuQBNYV6ACjZ2sRL7F1GLwU9vlUg1ae7ZiJXDTXnswp3z6mNPe3LQjpKbASltiVgN+EGin
rdmXmNWrab6TcWJ96Ul8rIr5DVFBy1FeT/b9EGo7yI3B02DH5TZJAvMrbMV0PvezlpxDgIZkklbU
IdPUEa+dZ4MPIoWZNgNJUiiQW7Cxs6AahuZCzaOjQR/rC3q98TMcZ2e7qMVke3WwasFwuIIgGNvs
ak6qxwgDNwqRcn4niUmldl0M9Yy7ezjB1dPcMlf5JcdOVG2q0IbDpQW2Hy2pfQzYFG50MZTnbBSP
DFqqjgmFrPd2X6aXqayVI1Sj4UbLG+ck69hEjZJJ4vtisAPWvlf6eN7iI1g4XNBZT9c2zXg0YyIW
Chq/YBuAvkWysj0amGHk1qWWr8iTBGMGPB2XUk6lbtd62o8jwxw/qWnqtxCqXTxe+a2iGHvHqAkH
BgdxbkztvcxqK7iqEWRGJ0YBzyZ0XMBYxi5QbKEc2riHlbwjfydJLXdwxsL5WGjPxpsQ1sbNQrL7
bdtrdv7BMYS2PgU9AraufzSqSb9tbFiZ/QZJx4MM2mTjND1BexnK+bG0NKLagzab/Soyq7sKfEcy
evE8hHv6x2nzqCEmS0laVNOC2HEaSKV15JRkt4qfGwklLwsl9z3HJrCleivMZlMShvS6MKzHz1gp
4XU9W7n1rHLEr5tNC0buUhDwEnxNghpRfLw4Lisc5YhUQOz25T1PrpG6Nlga8ESNpF85DWS80rR1
ki8U17Oyt4tBLQ9GmY0ks9s9h4QBDC6uhinq5XkMc+cpR676ngrs0hBVZhGCKCEAyS3QENwWHKa+
zlLv0p0WTEO1h1FuFT4xWw70H0F/fFMYOL3cJQsbVOmTKh70cKHJh/CWWZY6VjETcckVuzQIMtxy
LTE2eRgniODpCJY3lj1rRPACq4n07gRvy1D9shwUCpOJ2b6K4ONmGsxpi+qAP6rZkLiNwT1GWB/M
DxlWr1NjKoStpiUifAx8zrhLpG6eC0fWhzR2eO8nI/CNNKN+0Xrd2iEdi3YFM7JdSZ1+W2gZAx48
cqg2jPJqYjxwCgB1bcGkAEjIJJM2F+9vVfs9sjO3S0ztaFvNzlAKRj92l7B+hWa8waWnK1uVsv0e
K0CyMbV2QT08Yvw0laK4tpjR3NmDBRfQrIdXZpka+nvdOYHhIjWqboSPzDTcAS1ZUC8tPQHhOZqs
j3quv7BHNdeIIMztaCHpjpl+2BilavU+pIW+ndTEfjQATlykVAI2hyI7ZBiEbkromttMmdXjUKjB
x6KZxu2Mh6K1zJAwkCTYQ4ZWX0i3jH2MJvYrJB34cR290n1i1NPJWixSUQyN0Ih6YlxCaOdbpOni
yFkN2044bTulQInIYDGhuRuJao1Pwkg4B8ut6XBuilJn16Iig8tWdofZHPod1ptlZwy5UbsJBjYP
AfDgjRmHe6QGWA1oVdinGI3jxtF09CENFreR698T12S4mohXYXmAyWoOqYuXKN3IxAl3EJDtbdWm
A5nhNEdYGhf5Ao+KJFIwItX7YGvdWViL+EZPqdwaHdIjejpib7a1/sy5ptpoDuLcSrThNqEO3TSg
Aq5Tdayfet7Dc4938xZghHMFghGVY1QkWDImiIc62ry0NBbP0DJzT239hu4yvppp0TwHnLmuscI4
/JDWpBLIF+YKdqmizNfV65Y0kM6LefNvDTyYO0AJzbtNHkZN+qhP/Fx3aVpjQuOIKPKQO61zWTk3
J0Fr5Au8M0xtU65u0rlUD5EaPgdNQb+5yIl8LiyMB8qsb9BGNzaWJ4VhWgDSiYbReSroROlKS6Ie
u3/tTwpNLykiRm2T6B4VrYfg21OYt660pg2yK7SUw2Q6sFpVmvIODg/yvPFjEzQCl4bkZlOE/DSV
U4iOKbfHXOGXQWy8axO+p0lGDJYsNWElgOSLh6oYVq7VvQ60KWTLY8QZRg8t+a7x5X/1/X8oElkh
r/+6vj9kGQq+uP25vKeSX//S38t76w/UPWiJBIRVVPJrCf1DJuKIP9Amm6BSfug9/lHiS7JAVBPd
M6wEpEHqKu74e4lPggjsHMABDmeDVV3y35T4iLp+L/GFZumkZqpEJ3De+B47+BM+JTZjAJlMWo5T
LayYtky5TiZn81TVlsI0fBLSX4XC96TzksPWYaoNPHWwjckPW5Cw+waTDHk7ZWYel8WSwYb+8QJF
iiHyBYl5LneCvphySSHvPddAfwx8azoemxkdF0ZvGndX2ZjbwJfwiDMOzalaXV56k8qVSgDMcbMc
iGDqpFskJV0LqBHNZoC/FLE9lMGRRK9qQHqr1F+cZLY+bJS+foficoN6jaUvqrIOcK5taIaPNltq
V45GmdE6uXkeSV1086G/azNN2VqtQEpCN1XFHWOK+L5KkvkyRWp33YRafpcnrHIbwkoUjuj26vQs
DDVEEJpUd5lRDbtV+r0hLWrehyPTKW2dU4nI3jFapasSlRS3RmHQXf3baOv7mIv9td7KdfaVrVOw
GFLiPa1nc+NE8i0c1llZOcMhXedn/TpJG0rSVyKh3UbrlM1Y520KPUR3QuV+q1sKJKxivDPUkcLn
+6gOwmz0Ya7zO7lO8pp1pifyHI+SOdUIR8nSQJUQh+d2nQOO0ZpD1a3TQXXc1FoJVKJq8s+Eedt2
SOW8bQ3ijsLGau800/kwgqD02QYCz1ynkOY6j4yM5dmRCgb+dVZZZQYuJAoba51jJutEU19nm/o6
5Yxb5p1Vivt+nYAapTn6SzidstUkgmOWwOp1YgoHVrkM5ZTfZ+s8tUgzhq3rjHWdLXqBk17gFuDC
m9DIxLyxj+k6nZWtNl3P68S2Wme3wuCTMv0NfXUIwofFthjyZtARei8pSocfmyT01atKnPSoVo8z
gVpoT8abEADrhXi4LKIhGDh31jpXtjUsQIDJGDZX4bJcS/QjpCcMhGIC19st3+fT2PxQITCz1lIp
TzPeRHZjoAI89udy0pfXoUHTviGHKmLWEQkEFSnnSX2djNdpOu7YOMOtUvcnZGPtUY3MM0PldaS+
TtcRKSR0Vydlr38fvrc8g3Qjmcj3Aaxkc+meFDAJEQZSex3dB3haB4fQM2b689gnt+iZbxSm/WId
+zuZvBO1mm0KFAFtZSENQCMAvgyxAKL83Gow3n1XEuSxdqKkxCO+/qbmr3hGSeJZ5QeoL55l7yCX
np1gX60ihRGV2iZYhQsJCgYWw/ZGW0UNlJ2ll6WhcZhXyYP8Ln5IUKbmAclxiq7xWilHa5VKEKXz
Su+h3vRW3uyIV9EOSXtc0FeQKc/RqINvUGCSXiUYcOCxsxJSlk8JiBGK6G36Q7LBPDzQs0u1CjqG
VdpB7qN+oAUyXfJV+FGsEpBqFYMs6WSeJfoQOiDjAatQkOKbbccLqX9POEqVvQK5/Xpkvy+YhYN5
pTFbJMTYOX4tGi2hSly1KfC2EADYX8higwhoLs5DouOjkRrCoMiOg1uK1/gGUtg7dFt5QOtdo8QV
72Y1MB6LGrV7axu+sppHld9UmXbiSJVvaUvxSKshkjMCiDYZUILbmWXXjSbWu6xsIGBZnLCXHgcP
2Z+BN/Q8g/E8zW/OPKHWyWO1vq+b6b5QCUGlGZrflHkkHc59WV/dhkYgDjomJYYQMLMrNzNQSbVL
Uh6wSwWlG1PZ+SUUjrsusT6rUh29UJvEdozsrHcNG7IsvdjOdpla5oBQZJzTd/HA3gNrwZKk4NCL
li0VJTyLqCY0DqAFHPT+KSIjQcj9TDLeanaLevYWpf5IlQTqMdVVD8MyGjXzhpKs7N0EJPM+5Vi8
UCE15mViw6YkCnhF0pFH79B0g/HSMq05Rks+ty5VK5MLnv6YwSkHa08ogSXdEZDMXZ0pwCoCoTbH
UlPtYz1jwOFAWGCKrym+Yz28ATCZ3RN+gk+jGRRrF6W0wzxnGaPXypYtrX2Z7wWl2LsNEgldkN1g
HkHjJuH6NoJmtqyo9paxDw5DZfN+6MOAlW1aFJoq5fyJ/Qk7KbT28dzh/b4lYrFmymTOU0OAXYHl
PzFgLLpyWvpnFcPfe92o8St7ckiZn/fnVmeGEFCyf5JH1ONPyQKdUL10eFbSbLnOVetgCTOjBa+b
Xw0g2Iy1IxxUeK4GxHWOjDn0DrhtJ4wJttBmnyBeez3CcxfdJInsp36YjavMbLOvmFaT4Jj3GpYR
OLHjJaDN98Q+4mxwWYfbfp41+tfMRwNPpBA8DzhEp480jh3JYhQGT05aDLcT9AueyjlSbuPEbCtO
dnnzyikovdYzokZ5ijtpeZqTLwcHK9xXmvHpHZat+95YsBuj8huOqUjxhacRLyt+0fpmqfU68Nqx
JSxBa+Mg38ykg5xJ0xxfIXCM3+CG1G+2lAPadg3jeuDkoeNO9awcG5EMt4XBeuPqbaN8SHVub+am
wOapKzauLWuumr0FgvHNCSeSOCEZ9mSYdProJ3FSk/1J2OVzTfNdunapd8xlVl+SMun1tdlV2YF3
Lk52CEJJ2p3lVK+kXGejW436GjhdIDeo4miKiEExdn0m4zusdKTuokyFN9FzeOaIxJBCjxIbfuOQ
e3qqWVfz2NVHuhAmdgWp+vOAXStbjxerv97DYyYZTmDGMRMNAE3EOd8VbXURfdv5rWE4V5mCUpW+
Ytn5k5VUh9aSDTCVrGhe0yZZg7XDvhVeP7XlSzprVbHppDNziiKW4ZtJAXVGzlT59E2/yDByHq2o
yN9xZJdbPVqtLRN4jRzdVFoq3uikrIggjNRDTHLI2Vmk9TYYTbavIg6nnhYaC8ICfda/WGMTnTrM
8084vjFE2bk+MS1vhtYtSg08JdTMFtdXD1IiIdcc/11QD5CDIvGO+Uqj42hggpdBdzGcDi9dQvrI
a79QQCLGHHueJbWFZFRY4qtTM1/aBLkZ0sMrk+AldrriEYEZYQw6oaGnvu3n3ZAoSuQvDYyB3NLT
QxKmtwgX4pe6sK7DefDLKB/QBCubkd6YV8CQusjOwd5rQXYKoUHHPsdq7cbMqA1tUIG72qSwcI1m
kF8ci2aDK0mifCoknr7VZS0VVyi6QMnXxurOycLwuu20ZTOSeHnQmE/uFml0/lLpGXJntb8SSrQx
+yb/FiUaRgKYyNY3M4kbqI8tEaGp2TWPoWEFX0xSJLdDqUJK57e5tF7VyP4caRPiBsoshNSBAQMg
bhjTExggk6+V6jAObdZ/VEqUsbToKC2IUH3Ogil7iLFv7tTYIC9HBP1VUwHf4AE37VPagDwNVWrE
fERysOQKiYJN3e/t2KmxxGph+gIwUSALD0bSkKPYwN5VVRpSsWBZTqkiquOIKuiKb5gBQYvjj2CJ
kaGTtbrPqxqPs6MXhzoDoq+ly3M1T2PvCU007yEj41sc0so3AQn7b0la/5uC/ZspmE0Yyl8dkv1v
2fv43vwyA/vb3/lxRraMVQUmdY677DsckhGc/Tgj878sm5gITrsCyqX2DyeF7vzBpIvBERMdA4nF
GpX49yOy/YeUQnCCNmmsoRLT/5sjMlFsvx2RCYwyoTIyBVtP6urvtMQ0GaJEAJvez/RbXlDWFxWL
q44AZVpyBsJWk3fbqp5vs1JDAc7p08MA4ni0iqptQnJc4i76Il6CuM95wIvUJAJKHb9NHWHgNj/c
oyxlwMGUv2D6ghoze5MKmH29jysA307LKq9C8ZscwBvcxHjPQMa4T4jBvGIgslxniYHYxu5Vcn7r
NsBuhnX2yDwDXUsJJgJ4LgqdFUNArGRzwm7AsSrnlKdMRrIb+XAaBgqzOlgLboBSabo7YmvlERTk
W0Lk9Uuc5cpDWBesSHjfd72jhcxDyBCp7La6wdBKc35qL5QgXwkV5kviNXZFpF2kNqdbB12vPxs6
yE3goTs1TD85BcWg2x1s54VKpjg2dbxkdVdt64WrR4N2MQkAc2OrO9Nl0F0KjEss7Idg6M+CgAtK
3eJ+rAnmnUZIVhlFhKtBg+Af+VU551fSrl6CvNO8RXTTESXvm2NCE6Ht6ma6fknn9K026IdbZXk/
JcrymoJZ9ys9Yl1ETMECOg9EzBcej+DDpAebwIIdg/Nz/Qgccw1+NCAehp2LxYAiVagU2dTuQ4wu
T6SZyidBMb7jYEbGSIgBhdy0iSQ/5ASRCqBgqW5B/C0Y4ZTjqoJ/L6VoHiqnG1jywCB4epWxc2hw
EEZjj9AQxYtBUYOJr3mRqf1gtnEJ8auJd0ioQWwF2LYXyxF7MqFtZGL2Y4YqB2m1Pj6y74VHSaaL
5VmEhV80Uoo/FBXSuEfhpV86oEfXeVxzAB21aCKqOUKWkkXFva4IQE1N0US+Vuq0STpn29oBtHM9
MqH6mThoaKdTZNKDHvKpdnZNrVfsG5UAshXPmDBhDKIPG6CtaGLqTyEUeAJXGsV4tGCNn2Ruqm+S
L+63M8wfqiLmeQb3EumL3YC60ykQTuNcGyRpJir9KSPp5k+AdYuysznrBJ+zY43nTGtw64WFTDeZ
RRsF90HoVXki7v/XDv1P2qHIbSVr479uh57B4b1/RH37jZyin3uiP/7mj/XedP5wNGyg6DXpOAo6
j/9Y7/W18akzprUNU0J0/qUnajMrwtdmga7FvUcn9ceCj6uODitojTVr7PtG8d8s+OwpP+uB+dHE
s6MuRtPPxdTfM3YdfWbgXikVBUn2GZWhs1NAebqxzansp7vzQ3Dxs8Din12JQDB2PhBKmvgdF50V
spDLJLgS+4bLpPmtKkoADAGH3v/+SlzDwWJqoRiy10/yU5c37BSQzFVa7buRBlnQqzftkLMHkOj1
X1+IhrYmVWOlQnGtXy80WJlwymap9nObfqZZ+hko8WfCv/8/lzHoj1v8xv/0OyLFGBYj+ShIGkZn
45A847aRiWFoiv8ft45n1WFOCVHeRrL+6zcKKwjBJegKVIV41yZSWmlOa/ZVQ67ZX3+p9Sf9RAZe
HzybwF5mcg5JhX8SoltDbiudM1b7aASWB+Xkbg6nJ6HMT9UA5uGvL8bb8ueL4XZe41QRDK0iop+f
CIVhLe9mWbFbsHlbLeFiiY0SpVTid9UOcy8GEu+KmRS7v77wP3noSQpGx0OWtTTJu/j1wmZT9hob
S7UH5wPpi83CNRwlfVIS/uuvL7U+bH+6oYZFDWiu1gPrN8z10if9HOOH2yt93ezzvoIbo6nB/V9f
5Z9+oZ+uwpL1852EFCAHpc+4ijMZJ62ZnoZ8LI5F8/+7dT9d6bdbN6Z5VNKE5gHJ+tlHOvu+rOmI
/8Hrpf75SyEeW4dMSMnwZVi/PR4lBSao1Crfo/MpaTUOykra66bbReYzljyVlr/TEMJIAMBehTjr
JxmuNL2WxXFN1TSx+zP1ZEbSe01ZjB9WFNP/TzAJOxbJhr2Vfs5I4g7M34dzZaF7JkQJPCMT5Not
qzX8MKJho6aj5vXsGHsLJfGFNrX2nFoasgz67m9DPsz+iGp8H1gLOahz4ezGhOc5tSYz9NoZj7Kb
Iv3xhzqUB5rsxaanztt0mlXcd0oijyqdu486YJUXnclnNwVXSWR5Gu12SLwInXS5mWWmfkkQTnkx
1iSk9Y58zwmK89OBirV0wuom1JbS7wzJcGfQA5RPAAfptNfkmu3MoKGuVYOJ6MoecXVTKR7Q/nyz
5CxceYKNDtarBhWXxSUKY+TkJlsAyCOx7UA2dN5AfCP12xDvkmYpT0KlbrbzOt4hYFE8i4SuZ1Dd
xmkKRfIWMox7MseUuXqrV6+1mWvPAd8dkt8oqtcql/3CZxoYJEcWBSeabdrc7mRKJXbJhsiecMIZ
6J8oFBUl7t4Cbs0pSurqxuyTT1XwO+2RcTzndvwJ5i+478ylRO+9fvq2LdcxR5lum0xFumI4Thbd
4paY7pIplgdWdEIch5zQoRAyCWUAagRUTMUxDlchh+zD+DrUK+cmIR/p01QccS3KhJvYZwbJrcpo
2+73xz5rOaHgS7WvIpNblsbchKDnNLXICDFiXYUP9qLxlUIrTt9g27HFkhHoBxhYwZcTN7p45dKY
GdFWNOHOoh8qxzehzsE7qRQH7dvQ2l6BJ31BPFQ0VzBsl2ebuvNhKtL8U7Oi8sh3nDdFx8qpqnZN
aiM6hVIzkfIUJc+P0agGPA9JOes6UTSU237KnStIvLrrOBq/gi6AQYRkqwpLQLup4kFZd57auuG1
k+qieINki1swTO46HYuKa2QjFEFS+8JhB0AieXdGRpf4nYcz41IYNLEzZLuWOKm7kf7My4JcfGdU
KPy3o9JoMfkMurFslgT9pAtgm3OsOaXiy+KsvoOFdwsNzCx8jh3t42B11StNH+Nk0QTeE6HOh216
RT+aqoxnn/pdoa/Lb8KIQk5UoVYcpyAsOKyCEaFh+Alg1rkKhKkf+SBiK8J8BlXS1qMfgTq8DlNn
2kCVc2Ap8hvqdbY+zLLo0m1OwEbkBPegBNBeRcj/vkEWN/YcoOGRmkw/r8B6vlTtPOx0vODwAAlp
2yyjXRxHGX+2AUOIWukAyols5zTht65vLD9qmXrU2r4rhy89qXZMGWDB90FlntgKrUvU81KKgo9F
tsZwHgAJb8KU91zCGXJxZqbPNjL/k+pM23yxMi8Em4i4G8dG6qZgH129y3ioWRWnW2jR0O2Yn9/o
FJXbWuGtT3uUcMNQ0Uluk3mzNKxu+dgxPV733UryvbU8eQd6YN/YY2JgC23tiz504hqavHigkawf
4SdwNRbUNxIRM0/N5tIfCr6+0ZLIwdShdm66oh8/WqWBohi2rDkRx8aLMGkDwH55B+Rkw/Jk/TAj
xbqAy4LK2DRE6VrE8WBb6O1LgM/jSowM9NzvlVbvNPUuU3OIujNuo5zIAt8cuTSnMPJ5WxuRmBDj
R4RmuCqywqV5gbwWhMamibMbverKbTTqSCjbvLpp19ydmO7tKYOezUpeR33s5gIFLOMC+C/O6MOC
FJvvq+4Yxa9dinlNRTQMHZxnxFAXcZ0GHeYMYwq3wwwU0RqpJJDtdMZ1EhrbFgeZN5QNtFV9YUXs
SmaTCw67mKPqzYLkloGpRRYP9l+v5zdML0Ftmn3IbvAAXxlpA9CdY7D0+aXtWXuUkNWDgLVNkQ45
99wp+62O1ouD5xBf64GmfiHgrDvRtqceLfsbGzkfQlV12JGk5uyImVfO8EpudMKqXhSMOzfzFHXn
IFmeY1Ufn+10tn17xlojF2HsF6DYmwIx800Ftfk2S1+tusn9WI8+0UCGHuiJR97np2ZQw73GrGwT
heA0O1WvQBW1ME/LOdyxuH9RDOZlmsWmBxtVHhRyNJ/qgpUXxZPzpOa2eIjBmJfewq+UUe5aW5iy
rbYQ98SWs9fopiaQW/ZtSI9we/p9juWt2RWRg6osqlB94MyjYZ9lLGYJhzxa41rCYF3AZjyQB808
zK6QmRR0gRuGEzR7AHLpce7qYd2RQxWMde5CKX9scy0/jrWeH0urUysPAWZ9BLrR+73IMUD6BAGX
lnma4TAxExrVrGH9y62RLBxtjEdfTZMIWzho5eg4EuIw4GDPg8E+yqEvYftDr4QBQi3e9EzjnMb6
bGdGW649pPm3yjBDlyGedZhsq8IrODtNS3VjqJu6nVjXZ9tKATV1TUfTzrRgViWMvXvmZWGy6aqo
kf6i9+tUphXtm43qncD3KbsfEx2kUUX2HxXCHKCQr6x5OBYZLAUyH75Iuyd+LklcZGdI1vB1Q1ji
/WLhGC70PZSz0Asl8QEy0taju7bjPdV0t0xamLyZ3e21uu/ggwbvKVxBuGbAJjS1tH0ijcUL/bAJ
gAnmeOi7kKQLqRFy6cAaueZ1DT/CzBL46kSruJk1kT2aKcohngzV3uJyZX2TJss3c53e47Qk8d3B
NENhyBdmCDsS9WeTMbv76wJ7beX+WsfjA+bsj0YJlo1OWvCvFXa7LKHsWzXb12ygvqmNw7kLe4Q7
oKtZ5Sgtr2eMCnCFF+qK1GnKEy+8ceoIeoHJ4Py7g9qf0Drr56FDICw6FBx2fzvkWqEW8g7weZpc
PNEnPDUpa+poARTK+jvE0mL713fgTydDB380R0Pa2tTj6MJ+uwFyMPJwrLL9UFOEFUEfsEGxHRcF
8GOY5+XfRhn/0vkh/lT+rxeEVLROqHUd6NivFywaChwJxZgFpUb9zCpRQpIphspPmvy9U5BhpW1E
PYjr7fb7tjOWizCBp49iGwn80eRwGu/lUg+7qWVf/+v7of+zz2cIxKtI4XBv/34or6a4VGzZp/so
z+URyET+Weo179TYjf/H3pktR25k2fZX7g9AhtEBPN5AzAwGyeCQZL7AmMlMzDPggOPre4GqVEvM
7lTVva8yk2RWZSQRA+B+/Jy91+70YkW/c9rAhOFBonffn6VYcg7Af9/UeI5xXxWvlDLlEbW4t1a4
GlZdUpMGlKvBubLNxD+VbdqeMuijm142SY0eKnRAbbAqWxMHV9IZFryqrduvWJYXDT//2Xma4d6h
D2YDhpiXPy2e3M/vu2JZAiwLxjkz/zbq6CcFH9+VQ0WJh1E4vvPRpBMNY4jlr8v2vUiptzVsIP0E
X3i07OcmcZGqUDauvJQwaMLySD5r++Ovv46fztk+YwPPdHghGP3Nj6ipXgnUE4mR4J1UhIZrUXWF
C/vvloGfOhZchUaFKSxIATimPhxJh2SQoUCNuRc2xbOIWLjKWiCfNeFRwWSsrJUCpX9GMC2ff/0G
zZ8/Y0oUAl490l4MEtA+XBt6MHkx+Rjv7W6Ej5+Duz1pKPg/FwOlcVdBj7zxQcAvs9on8jWb71rt
jBuslU4U9FXJwJr1toXcRzwp/Pe+ppwEp7Sn/vZPaVV2bw0Kuv6ghR0H1/dX/89g8m8Gk2wV4peT
yfO38f+8kBPxl1b177/0YzRp/Oaxznju0mnkHv8T5c31f3OFbtqC5sg7ooKp5Q94BQNNw/EQ1QrX
sAgDZEP70arW0QP7FmJgxp0LzNX5/2pVO3gWkO1aCIl9T3ycTBoSJ4SuR9UBlQGRrVkZOTdWO9Zn
suX/rmH40x7EtcjZ0/ksfKarH5cZ2enwqz2jPLiAT8+zVMY5HSz/SfEJnJpm9je/fuZ+etwZAOhL
62kBg/g/bUEtAkB8vTrXKzhfkhdag2NOJwr+fqJvVPahsDbWRNE6isR8+PXFf9rhyZGkKW+zAdIg
RdL91/2v0fRuqsj0xbDc92/Ae+hM5Yb0TsqYpwtQM/+JQv/v3vL/8BE7fFrYUJb11F1umz93EvsO
esLoucWBumK6zfK4f5OIhOaVn7TTbaSr//iCgim5zuUQRepMXT4sa6lODJhJjto+1sLqyvVqNsO4
h1riWdpnornFy68/VuOnz5XZjfW+VZB4yBDoQ+WEsk+fI8xQexyBWNMGEXbmzTzjIl95o80GDBra
gKdb2gdSLI1LI53yqcRONAaxyNACRW7nXnplmgPqO2cgbaiOu5OBmvhZmd7f3AX4cPnE/9JBBtNo
mDz7eG19HvYPr7fEEcNxrx/2jgsr5UHjvBNedVGukyZeUToQrmeMRwKLVL7EzTjGA8+gumg+xZmJ
WFcc2f2tw7tNLEJHJlZMKbiXupBDL/lFxpmENQ4oUjdzInlbaZwLk/QHUiic2VgPZkdNo7UJ4WfK
nHHnOJNxhgastUhhdbZZolEudOem2zChDYAcWVbOF09adB1EO09yQ5PHTK9oMUy3glVCrEnEzPx9
Skf3U5rTXrk0rdlyy4X038uV2ym2bwrp2DC+cZcuWlGDKma6Rhck7bupVCOAuDgnm8VJR+Sitg2H
alkIWnztEJhkN91qI51iP2uIiJrAWbzAqqpfZnypB0GgdxNMdD9eUHDJW52zSMEcfWb5woUFENxo
nVev1adL1ebIEgoZ1i9W3E8XrdGMB6engZrMmGIohczyUCp/ehFVj4QbSRAolS50pstgt7zTOuOA
UuQdFyQpMHwyiTxo1wMIg9d84HP0sDTegnk3HgafL22mZfKEosB5FRrdyiSi9mvwn1lbzuK9F/iT
Rgv1va/2+70aQ/kbghghw3CdZFP3BlKNdiNur/rFVLLudt0o8xl6M4Tdo++GSXHIGsIfejTtvjcg
nDPjT7Ec/SevZj1dg+OgZ15A0hMrWQr7teq8+iWOQKZHcGFOPu3vpzonPGJllwl3Bgm/WoCJrLpq
dewUK6uuptsBCtC4loIMYpICuvplQghdBFGVzcSFvzsYSTeyCErAo4XhY3mvyzEOBgQ9nPfP3556
B4oPpMw4wyPte1rcBU2Jdu39ZyCsl0Gh9JR1Y4abyHu9i13m9yOMQbCKHTcwFilic/qMcRYZamF4
ZXSSY7zsRvIkm8nzL4wPDRo5BAHqw6rPwW2ceyKqagdtHxny9yiHQa8xbJtCuSUNRa1CS+MXyjwx
9MNo9C5H+ohwlvjYkfSk7ZDrp+O6iTQVXuA/O7S3icWpV2U89OHJJDz6hXHU+CYJacIvB8oluR2V
Zo6fOj7+eNeVpdx1ZlwS5qJndGM9WKSVTpSz5kiHz7l7qK0whpOnsDhj/9r6Vo49HezTyOBjS5KC
dXYQJQdSjnvwh9MVMMjpQRRDhUA1BLhuaupsEwsWgPY1njvdbLDEKgI+8dncwK7oL2PcdBg+ke9+
7klqt7m/utEKIj+ZriQpm3vbqyL0/TrYpJUO7s5rh+gNWLNxFlDBj2USi3Otl35I4IatTkY5FtGK
e5djwUx5vCvruX/zE5yz606j2b7m5vaP6CKncs0ki9BRw3XDJ6vsCMkwNPuxjyPmHm3zWhqEaKUY
M+x9M1os2QxnuelIreC5V5nTvcUG/wOz4DBd2Oa4l82Q0ncvtJBdekapojrayY7RL87ZmLgNN/IK
9BxSTpcZ+uoTym7jXNtMKZgf0yiR2fg6VV70lDqCBbMysweYd+knpiA8WD6aokOoA6pOXMs6eLVP
ZI7v09JjG60eBBT3OUlLTNGaHW0Nq/Cco0PEq/9p7mrjc9FqGs6i2B68A2rj2RoDo+6A1LRGC37J
tKwvcyQdgY0xO/530FjbpTHIJ//BjePm/yVsrPZH994EX+CuEzkeaOBocm2NjRHwXP6ROobz/2Ya
zGnYEor+9DF+zObQijkxZ7Dwe/xY6Wr2FzLa+PmaHat9pHVuhl98b0SzTdcgrLazV2EvRF850GDt
Mu1U5MnAR1dg3piB8Dwr16v2iV16N25s6euUp2rnwtqD5Qji/wWlPbVI3TveyVra/pkh+VobmPub
JAcdvyHkK2rPrdcp0DqphxtHsS2Q2gScHLH4m56n/glGIMtbJoAmrpqBO6WLdG9NOvlyKw0RstQo
rowzemzWUqz9rOmpz9+R5IHtRM8wgRGcZQV57rMOFkPKa8IHPa7AFfB/xBnMqtVkcawSeU1ObWRm
rPetbPcqlqyDnMi6bsdA3DsRV6fh46q4Ms1KFi3L9abb2uLywhmbfPc+86haLozh3X6dVcqC/74E
4kYmPIdw++XWp/kY3yLG88rVUI/2aRwGfefmDm2Btte6txKjErEgVrvMN+fGeXVz9scOrS/9bSfJ
6YQ2IICYSaGqOCaKI8ru95dllIihd02cUkmEmsb25TJrvWpyOtRSDdNtL6l9C9BDuM7yUh1NnBEl
IZGqsKdruozoyPTWr15Gs6njG9ORvOqkWFod48L7XZdtotyLTWpHx24hehukbh5HDdSM0dOl6wbR
ZIvjkJFHGBCvpO5DrXJeRGywsKpWS09j3U6E8gIo+zlwzp4tr2NddI37vNL0Yz3E2ve+RSMWDyMz
BV4zVU6iuf6TOY3cFl7espM3fs/8rF3aLtHSidq2JKrNvJJk+USh/hNf6ii29QErDxtmy1J1jxTN
O6XQul5p1S8DPpqcZ81oODWgkdZpdjrMQMis8pxQX1QVxBbwOVFa3oOw14Z7fPIYEoNkjKPYu+Rw
YgVbVU3kXM3W2Khkq7JEiwwS1qiWaamPvUPuKeVGruPuSXRMQkGYF8m6H3MAV4K4NxKEqEFccwGN
2m18JpEGUaEWqw3/4hkGc3jM07m+5utvLri54kMmY2zGmp8cNYLVEGrHbD3KK/YRPSD8mC6G9GF0
eB+NQDtJcApaU0KmuhAjsXUXeSzpVhsNW0OPjDUjt2LFIKo5VBKaCT5h41KSwVsBmusxc0jM3bgm
+lUviuy7lthwy2QV7n04BKSONPRbeQKBNdjld1Ta37WcRsdkjwfuawqDodFv/L7Wb5wCwbvUi0B0
qthPAzxoauPwfkLGsk3ZRMFTxORW2faNrff29cTE945vm325nPIjO1+xs4sMoMniovMKgQ8lvx4y
0vTo7KobXdXRY62J4aWtTOtcoV6qAivSKSAnJlJ+Xq6FJDLEuFD5lRvGxPp3MGPO0bIIdGGoZPop
MWSlO9pQXmCefHMawRdikzWQbdGpjTFZ9XpeUWhrsg40dmDcr4NcVpBYZ4Vgv2I17NPqamhM7SAs
1dTXXbYwI4qY1SYRLXfkzFQdnMsE5OVW4TtLAknZvf71MWo5dfzlVEIznAMHzU/ToAXx8dgP7CP1
2fGQ0DjvRT9cR3PVLoXvr6/z0+kHhxLtLnoZHPttDm5/PY8S0dsPadXX+7wULMYDTTlI1a1GXgOh
4VfCXo4u78vhr6/709Gf69LtRyXCyZQg9w+nLo7kOcw01F1Tmgu6zWiTim7KJ+ANMetXVZTqgkKC
tRg8GFXur69O3+bjpwurlFMxDzgv4mOfUXUp3ROiAfcjJjhzNXut+eAtqy7eRFb7PoKuuNLrlmPJ
Unmbtsfi/v4S/unY/U3HDs0g99j/LjANiDVtX9+qPzfsfv+df/XrCP3ES7BoQcEAI6hcsFn/shKg
5PyNWwp/Oe2c3/MV/ujXGfTraO8urKsfNoMfXgLs9r7BaUz8EKv+J/26j277pXmGjhBRlcfl8Dx8
6CstNk4dCpN2xaC5Sf2tAXRLDc8tx+iyPaY6nqBmldGVitOd2/XYgU5Axgsi4wvQHS6YV7zfNVJu
wrMy67rUiMvDE6BRo+tQWllQQSoNMKimcJd5iZMkJycaJb4ajFFpOGBjnLnWo+5ITrrsBwO2zPjE
nJL4I8KBPReXuoefEbgy/rQjrXieMqw9eaLIRQql/mK+C9sq0be1usfzxQKy8exodO+8eBpi/yZJ
+s1I/hdrJmALrQicoVxcqUM7a2oFCoBtksz1xvvnqfk3s0wWDfGvHht4022UvP75qTF+/51/PTae
/ttibwEBoZs8HTxAfzw2nvMbYCTaX0TVIKN87/v+ANExlfvxmICrY95L2IhDMQdk6T95SpgxfliC
GXKCt4BKIQzaR/RiP2w8ZH5DTfTyveVFLyOIGIQFgGxReT6XmrjHd7sHe9g8e4WBj52RI27MLXP5
Y88RZjNr+MOtsVCHLvfnVWmMDp7RLN+1Sq/XrtaUROr4LTxeKTDpuczGvU4nei6vP7OC6BfNpHSb
MSmsrXycg9pLgP1r5aJTci8YerzbcU7WmdcXVyVSA/4axk4OcM2m00xzrUa7Perk2DeyuEGB4XBm
snuyTqdD27nznUOPinH86AaA24YHpo08EHAFDnHCTgI14Q7Cv7MjSeKTsKnCzHHkKFLk8XWvJ8ZV
Cu4LgxFASEN07cbRRHPLYXtDEuMTpHfUUxN2+EYgKnLlawXfDLGMHNetXU9fEnw9V9lIwKJFiQeR
rBGESo+kXNqtuxtL1cFFzpmdWtZbn06gPwcyVwBLguRwh1dTKtaGXh5TPwPXm9BESOcy2c19SVCD
S5ZJ7JaXoum2fa62KEhuwiWwY9CaaV9b/riaUKhdMD3mz7106k8YcLYwp+7w6BSXjNnmKclpaKxS
5BUU00N+3dZWNG5MD0pfUzbZ8zBXyV1mxfbB6kAckP/JdLmOZHvfWFp4Ty+XAW6m5iUy2HmX8TQn
MuCScwvH6zkk2e6Ns5//NBVWBs61Gsa1qFw0hNIno2bM7EODjOLOXSTYRKex1eemdPa9RSfOhV4n
AhIu8qcyK50rCPn+js6tcbbLGTkCIHx0jxG1wcltSCyvE8vgw/NNuFfvqrIOuyymqkUeOld6eWy0
GStRg+mUsNAcHOzKoOw+o+5ERIntbmuS1PzZhTwo1u+qOsekj5maeXVPeFmxmQok1EbGQccSlCI2
OpdTRLvvc12juye/2E2ibQJXe7uQSzZogqZb9BnJeegzzOJDZBN1ltA/mYnL2FvEg+crJ0FT2+It
fsUYlD8puBFf2sG1DpplDRjZu55Pta34mZj2KR8gCsVJcSRDNGE80H5GANjzJ11zUMNapx1+a4I1
enKGUGV7h/4pzmVChy8uYbcU5hWt3gxCIFNUR2SBpfgeai/nD+LbipsNW1q5URLZydQXdEN5/ogR
wguymiZ6weGUcKp2YyAWjPYRgjR295awy+2Mwaq/kd9Hj3eo6pv3V5aS2enRBDWWIySzp7toXkS9
Totsl9aed2cvqCVb64vvOTiEI6HGw0OXgo+thELUnCxvHFkJ0vzB6R/dqeAHc1jTB0eyiKw9q1Ib
3e/Qeo12+vn9TsObx9VgpKHdJIvcuUomjuuwlqubsUYTiuI3HQJnbvInGyknYHUNfUFf2O5d66DT
qjKUnMaEcpUBsoknenDtfS35UocBtbVWzHxrZjjWWzA6/du7HKbUK3HjGUJdMVY2LyF8s8tIpMUm
5o7MkDs54WffXEQrTsFsuiTc6ahJxI+tqzhv51Gs3b+LN2aRVvdNxIm9wvm1ef+2irGAnxcpxLFd
FpZ9YPTSC6qUT06hmDkZ4DxITn3H8IiIPz+MeLndfOKun/lP4nkv+NBVYHKUDyi3z5iRzxID5aB1
Dyi1K1qI1WfI+bR3hQp879rshxt9jG5jqWOU7ON9kbbfndG/8q0KCa2G2dJ0L1NnbS0Z75AjP0U0
W9aOPnknIfiDdeigWNGQb6oq8ExiGXv2MeRwVgVPDdDuxa7Tx85Iaf1I1vAMLeZauLUVGG5pB0mh
zsnkr8cpXXfwfK3SDW+NXptujIkkIVqyCu2JR3iNqLIUrKC0N6rO8NHXOA/IqqmDnklMjPbbeAOa
EsjG/NaUklYOwPCrdB66TWkWMDdM52tr9ERaOHeApVAQysG6MTlKv2iR+Ywk9Ksa6NHMZVdssdP3
MBPgSWuFpejXzfki4TRJCBYCbwWHK7DH6fxW0L5mpAOLeo7px/QIYMk9ZiSR7awUGqDjzHzBiTC2
U4O2KCUSEO2L8SgUB0vXhwQ4qeKgU9TuRxbhte4N9YbGDKJnfzhCv6m3GsHkjQ7Afior/aQy3T22
3Pg7UFJ0XmT4ohuoEjX4JoOhvgNBudSJ535LTNysNsLAz67Q8BRk2UNvdOmrUpq14Vnv4CE1XqAP
NLXCzu+XytduVnKeWQ8sme+jdLYMgCO6DVd+ja/xviloRCs843rpqfMUMw/fWJFM+qDsTaYI5Qyn
kjN0eaoMcc5Z8++4reD+iNC4tUitwk8/lFVQDFq6z8oMqlunyVVnmPW3zkFONxfmQRVVxrilfh0w
/a4br/PXqSGfyRjD/Fux2/smEVX0K77qtv4CnnGnqyZ8HI1aAffJJPLaMQsqBH7Xre08hoR1BoLH
EDNlGT17pBwGJcmXPQfzE/iAaEOR4L2hBZAX10mMxww3JDUE7miCyoU6kg0+OsC0Qm8KIpk+pouV
wO5sYv/wrX7r2zY/+m3hQpzrwjWISLllTx+3WcfvRoW1gW6gn90wre4s24LtFTdUVpbmMCBqvXMt
a/JJIXp/HvGxwa+wq8ChwoLLlMzwJayKlbxPBpcsJ+ASYVZ4ADdRIZ3k1GeEAZihAV+7mwUROYSh
0U8DsNfT2Gd2qd0Ig0lhZpkTDZQKsF/YRtpGZulwcp2WLp1RkltXNU5trux5ROMM5/xc4eM72k6B
M7eh0x92DSyRJmGEktH138xAjsoVpAft3Eeec6BSyHaGXjWbZMrDAHV7Rce6nb6XhWneGEXUP45t
MkKecJtPAp0wCkgFpnj242B0SVLT7DoJdHc+ZAVVWCGldtQrFrDaMJs9cfILNKFPgzRUBKBjVeZl
5c0O68gXt8u9VdeG400mNP26Dct2m1sVkfImXvGB+G8Ypu31VKVbW9N2yAtFQHDeS9q2hJGlpcyD
aWxanMyZAaqly7cFTbQAZYu9m6v5mhmy2rXIdVcmAfBbBzL67byEaGey6ti5pHejaGffN2k37j2s
yi+4Us6gZLpviBYpQITqt34toLXkzALAsKNnbZNkzZGNR9yyTFLM9As7aAWCmLiSGqHXqtNH58mq
JxqhU7QGOnOvkG4x0DahfHoeaJLS2Ikx6YLcoGkjq+hbMxHcDL5jJel3b2SSDptJn6ZjIkmxpoEc
HsYmPCVRcyFxylm7oZce1EzqZ5jiIujXqRZnxkZY88XPWF2NK3fQRCI3KVkf4KmzYkyjO0ukzZpH
GKXWijcMY2blaySKPkVRAyI68/VIYUUaczUdJurf+eRQqmRBGhWZs6H9A0LLIx8OqIptF+wuviNL
dOgJcLYukrH6GmcYzW1CGTACotwvPk2FfacBxCAKEQ0wYtXxHkMSeeZq7s5RCsM/lY593TvzczNb
CeB9cUn8iuHD3GN290uSxwB33jRu7XxBeaKClCCAL2SQ9NdjQcc3MeS3NlLmZnRMee0RE7OGm2Af
7YnTzwp+1K0/5uZpdEVziShVGLwN1lppBEB7ekivd0hfxz4iCRY0FiPUEGSPBjIuSnU9yBjYMrJM
SDSvvZitss53U28nO0SwD77WTysns69mi0IbReWba+Kyt5sCoCrU3Lyyv8bgwQgNS/yjiuCSMcN/
T+kjEOCLbo/9m5s5zAnGsqOO7+y9RVuDnGP/XpeDr68aahltcVJlh3kOYSzPy9zSTlp4SHkxf8pb
Pb/u4uIrB1ByJCsEzoyt+9m5UiU8t6SMvzZFwa7PZP3NlWJZs7A7bYcykdsWltML5YvYmKY1XfqQ
aBdqoIuVpEil0pnAPwPv+1G3/WZNQD1P2lCOT2IYh6umtsrTnEsPA7/q85usbFwnwF0RfymbDlxR
SHbMtjBitgIdATnx8YlXUQfkvvfmEWgbBzJyjEsyRN6nvnWRQFhF+WWOK1AqMrRsnBcQvctg0Mfy
oaTo3zjG7F2B3qm2NH+wzxnzIVEhiJWRQxZzj+wMfWd8MXrGJqKBOrNyGLAGEKZGRBtc/Ibx93RD
6HDMwRdszQN4jDYKNzAUAAgiymcfnBURlCCjoaN2PTqappPf8WMUe9fqk33bMLKftPIbBD1SPhVp
KzDXT1kLFaiOWu8iCl3eRnFfX6zUn9cZjSQmy7BpnKiCOxBayTolVOjIC3vk4BeuXT+utlpaeIdc
aFH7T6/098jZv+mVkqT1S3Hj/22z17J77f7S9Xn/nR9NH/83gR1Rx+Npi3eU6B9NH9/+TRBdJARs
Nzo6zuLQ/9H0EYtDnywvcrtMSoFFEfmjCWTRRjX4aQ9dIz1KdMAf0gZ+lT6wNI3+0ogni4l/LN1x
YbksxskPY4AmaUy7NgeweLnnBYOjyTNAYSBHYTwd86jBG6NVqQqqcVRvDmyLE+sUWxczjfHCwVRf
DUz8XnMOmtcZ3djzXIbWg0iB/a8E6hIAprZ7BkrVXRTPxQPRlPkuY+RzIJHA+FzVIVT91E1RiQuk
vARayy5NeTY8hmZJOsJj64Z6/qrXuPaSMBI4OKfMvIeakh3JXS+vQtfKd4PFDGvqy+uK0ztei5Bp
eMrgBHfheCiTgpl0oQlYRVrkHkmKrXNia6ebikPwrs49/6TYdZBKiMm8m7TBP2Nn1K8NlejXkLGo
TCXS963p4nEzKjN6NvyEzV3Lbg2Gb9ehaTzMOg4SQ4Tw2hvb11Y6KxslOCoWSjgReIZEE48hp7/1
lQEPLHVRVtoOMV3tohBwcr1+G5G4oIxgxWkSRtIYArLHxk6BB05Q7XcAHdO93/X9erTHYq27ygh6
wxw+VVAOb/qB5M2e9eurr0b1XLYDg8rMU3tLpQuXO53uHCD+gW5iT2zAwF7pk2i+FNYwYWqL3G0t
gVu5dDoAuE6g77ISL0RJCEWT2cOb5lugqRwVWCTUmGV0sEO6HUMCATzTK/QfTnhdZHVx0DxSijI3
W5P5Pn9C0t3sGiSG3yM/hTNL9uFVT1G8oyEKT6uIi1sDfLe59bU0O8ZMWLWNNacD4naVPkUq8V9c
zLUbzK31EfvgeF/TVX/ggJJcz2CErrEiTHI1gLrBf2t3p5QB471N5tWuWKI3ViPJn3tnyt2U+TlM
mpnQ4esosuetct0cOg+T80uZ1AZE+R45VdJZ8kRFpd9iZnSPFR61kBLCzr8O01SfQyHyvZoG62rh
y+2KWiQvg+cmz4z+jXMZ1c5d4eXzforVdNY1aV2ZFMH7dqiiGwr67oGjlB9MRZcfCg2WXRmO4cov
He+MeMB8KX1DXGOjzg6JgQedzF2bDFDMbVtg4c5NXo9XZjza3I4ceTW93wxx1L/Gg8eZS2Ew3Zh1
6L6iqGP0OhWHSNVIV1ThHKomtLGXLeJTtzSfLDv7ytGjJsIsss0X1ysfKmnNT11Xq91MJNldhbCy
XNKatSN2h0Xzg3z4HEvmmMFIO/S1C1sSYaMMYLFtWf5XkuRh1kt+KZqT/NFLGFRLxGQbpEvFVRrx
JY6E2B7wGIu1Z5PV6bI1fmHOJFvg+8YDEn5AaKM4ksa7K0tPBLOAbEvTLs3uLMPIL06Y7wXwvaMI
5/JgZ1gDu5oz2MBi+dJXfnJwOaqQYUkMCJMd/JTllF7qTre/zVPDLBu7GkR0la3S2smeXaS5j24J
9LY2YUzxhbr6qo3hkzbCqG+1lmFoLporAHggYFHdOX1a7EI6udcACZCM5HdwP/EXhvSNMmEZd6ke
WfvS8HTq8VGXZ2Qy7VcL4dkqhBM46pO7q4xx2sjcGPAQupb33JNYUK9qfc4BQ7uq2pSzim7mrsp2
GtiphMg/xw3ad6g5Q6OKrCG1Gcq5o4arBppzvi8fI07UC5/Jr9f5wkk335Hp+VDMV5U2NdcUcfrG
AK2evkPWowiqfJL7tPcEiQT+QmPPteQTJbd+yPVO31Q6/k60nNWXfOG4h1Xs3zkL2717x7zP0IXu
kiVR2gUC73DIeRULFz5dCPF6J4DF1ws3XnocNL13mLzp5WJTWJX/hJlTP+Mfjz+1C3+eADiM473Y
syPOgUo7ecZ0joZOjumpSwWDBKX5J0wg7S2xts11urDutTDJz11W1JtqIeEDRInWs0mCiNM11qds
LMy9gEJKqeThhp1S89vsRsP1CAzw1bYW3H6ykPdJnk4ee0zo+Yqzh4/JFEb/sND6MXTShTcg+BsL
y39kNLgieGu61wc++hL48lqpvt50EzkANBqJBJiWdADLJXbDygxwpZrtgGzUAQEoRKy7Mpn6Q+bP
9WM+hLvEIH8hWxIIMkkWAfQRClb1HlEwLGkFDrEFC0jrbJDbcvQNjN9jY0LIRdS2kgbbbcIjfoXI
mdALqFcVodyt/5IJkayLctSf87AN96xMMUHlzEtMUhWAdWhfawZUx3rJXCgQehNVWOYHZ0lkEIgv
73Jibh6j0QuRtpDcEL+HOIAF1gK6RQK8pIv4TDVfyo7UB/09AILEgblb5UsuxIRtAU8m1iyz066c
Ujdlv0L+BHhzwL9T0HsvB502BiCBOzSpLXt/mkYPg0MhgsK5yVVQWn5/Rzc031dYefH0YAanm9q1
I8rp0Gu+E4yWHWQe06eYRu2UmCBHmaPeSlniz3KGFzrNiHerjomsxxnjS9aLFyeJX/Vw+O7m84tX
TZfSmItAm8ea6zUos0tXbRBDPdAFrI+0J1x8yZn5lKVj+XWRaH9qQ35RotHgVk9Uj3ixjngXdOaa
rpH9LgfzPYtrSq0ywutqZjpyJbPq7Y2okvg0QdlbDyPd9Numb5R47kT4nXQay9vnEoTAi6Zikw6f
pLcVVvqOvn497xhlV9dJ3WjVS80CSu3ly7Uxhdm2AbZWHHGktGvSgMw1RR688UgRodgm7oujnOaz
viRJ3ZKkkl+5sQP4bIjnONzlM4TaMgAqMaP7i3onfWOq3GmPThNOzobIOQ5DiKyz6tCA+FqXmk7n
w6/KrRTdJ/LWRsROUb7WFd9kH9mfJuS9e5HUuJaR8RNTXE5bP3cpJ/P4mLT2CZSdh5wDUdsqi9hl
NJfhIrXIYzmTHxrj/kFC5Gv3sZZEpwm8UUA6lTpLNHLnlm8TCjW25zgZX1HrqmPrC23V2RpN5ZJZ
XDks5ZY1Y1dAsdBeJckhC7eZKwAAVGG/93ILLSaQ2F2HIQUkvn1X0KJFLKVFh9mOCGaE3nxsCzM5
9jqQN4Oce3TTNZHwol+ryG0+DxbgI29y1C5pJHSHHt26Funh4rivNmPI2A+cW8ZGFtYQ4fma94NO
J63PzWLn6KH+3R5CymjwUAlKPgLGjDeG/8L71NF2dbuvg+1iR3gE7EvFgQgwT+iK/CN4+feQanCl
fjW6v35tVf5avv35FIc2afmlfx3j3umZiwsW4IauW/Ap/zjGYVHjlOYQ74CZCVAzR7UfpzjMa/g0
FzaRwD5mgsj84xTn/oZGBW8zsXQst6A1/5NT3CIR+7NUjaGf8HBL454BZwLS7a+TfKb0GIbjDC5l
ZDjzKpR2yYQyUo84nGQQRY7zN+qt5Q9+uKCLTFd3MI5ZHiKuv16wJ56t12ah9oxB2zuqXBkISubd
n76E29//3p/JbT8JFN4N4Jx/l2OpYb77Rf/EU+udTodyFE97VKjJbqRxfUeCEtJO4N4bXRtJ0GFT
WNtNql260Z0ef3157II/vc1F+cezyEGB7/gjRQuPh8ec1u335G4gjJtGYOq5G+t7aSPPhnrcHqd0
aiGHhvjn6OlZIae5OtEYuOEEu6+wPdJSDz113QHWQGhr2DhA5jHbkpjKz+YwNBFE5xqS26mm1IHN
0CmHnr1S35teZXR/vGw9k1K6j1GhAy8SzbEQTgPntFE7ED9Md+vIIIwAfidIFZbSea83k/EADK8+
t+RBP5gTM+TeGkKIvl396hVw6YOukoqGFO8I2JV8yodS7bp0KqHIQKRow8SjzK+Y38RgqD7Hiapf
4Evwi+OEcbtrJpIehAgvvnSLfi27mhQvPio0zxHjFCMIPdu2dmYkeZu625kbqKfmg6rAbhDtEd+Q
yMpsyPYB++cR/AyAFe1dlUuiQaQ7kvHQu//F3pksx41kWfSLUIbBHcM2EDMnkaJIihuYpBQxA47B
MX19HzCr21IUi7LudW/SMisrFREY3J+/d++5tPOpPa/oicJiNctx60QA5knCa267so/OC0aeg9tY
xYlsAr6O0w8PqLuGhyZb3M/cHZv5BFCUygYSQghu82OuR94Hz+IZQoXxJemj+is8V+5Moyrz6I4B
79DYRmenr5C2W0Z6bJpkfhmhmn0xW/6T2Wy7R7dmChtNjI2bGBG1LpbuMXvlxNZYlsvS54oEGQf3
jShH4FiuXjgkFwXFogIjM1aDvaup5e4UQaoMXphEZHbd/hAR/xjniL3COLOX+GhMdGoroZsfU8fr
DLluPripLk61z82dPaTtk8ZgxmCgaiuGa5wqVQc/hcYtpbkwpgMVbH4Xj1a+d/2kuRYACcIiiIef
Odv3SkrN92VBxz4arPqZOm14iAKmHUEz8Ec5jDxwhPoba53YB6PB+TdfX3ajkTdsf0OIX83eESce
0MEn63jIcx7FIamGn1aezoc5tcVNLLgT0RD4GKqwzJUE+KEcV5rrmscKnT5++Ql/PcCNyUgr1EJR
dOeaUfMDM/xyVY3J/MUegU5UNS9D0Tb53iDD7i8YTsBUBBiSJC6WPREDRdjF3McMUNzu9REtqmn4
Obf8+gWMOl6IhTsh3Ho+CIvnv82xyJFBFpHVmH8djU6fk7Qtb2L/xaRrPmxSA3wSdjeGkUknn017
bp7IsdcPsc2zubExBB/sFfwhBDjhyBt+AtBX1yqTPJQTM+KJou7a9Yx+z84OGKF0BFruUd5oCAb3
VYpzTOO6eTawqQGWzZd9a0f1s4NUEA2SIT9P/oyGz8j8IPSrsf4W+x6DhJSe1CZog3z7+uN8aBCn
ru6Mu2lWFUz5NFuuRn/uHlVn5Hdz3VucGWKuj0Um3nkqMjTko5mCZ6KlhX2QeDA5pe0PVbhktqER
Z8g4J37zZHEousQWRrMKr05DLJwd+zb4nADO+NcB6Fz/I221+JqS5pXHR3oIlTjS/jaqnWOCfL+a
mxGF+MgBSNw5+YzCUUzzF8ufma25mnE54v52i7fZ3fMcShMjgQ15uObsi4akutZ1QBnFE3YWtNt6
szNua7O4M6S+FqUq937iydullayd3uRQLsa4FKLr0mgcOmS8REDjklNp5186Kawdwze902L+nvql
3olB/5UnNk2rKmbmL5JTsgClqSytLutyGHdEcpBaH8X9X1baNbs47S4mOGSoQFrrPC15sCXVxQsL
T0KbV4ARBHOVKyPA6xYy1zu7mX+GSdVs04LZADO9qDmhAyw4oU8iJI5BkhLCBBELZfES4xrzNw7R
5wfdId1Ar3o3V166s7E4XGR4FK86Nxv3bsIL22SM5phb0IPDP3uirWWBhRrMk1lhYCs95lsKQdWu
Hg24/A7REkNlZYfE9FSIYBTWr0yDo46tz04ZBRz+vA4fG2a7nc21/9GpcXRD2QTGsikX7uEmhuZ2
tFXqAVlmTl1H7aWGfIQoxNSneAywVhYBWcgycsmYjbofTj3qQ4y6hvFek6IIStjmwN33O8Ilmzuk
9yTb9nm3jweN+jAhfYTCeHr2V2L06OTTRTXFeJaLPP8a4AbxQndy50MACXkMPZdWFqCOJPQG4dDm
d5pbqjMfLR083JNifSWYgUWE5Joch+ZG8V5diaJTF+MSkQZum/bJnlS3BUbNW9XtYlpZxBzwBM69
Jc/Kbacvy+hkDH6IGPA7YmOLrTMY9dlq3eWbwqN3sudyuVeZquPQ6oLjtMjgVKLB+pTmzrIdInBK
tChE6OI85nFHklCMcb7rhCNuvU5AUwQCpzHgjCVqd3/fGEO5w9i8oBlCbCICJ3siBZEkBnMe9yKa
6XQGg7FvEkwUOi5vC8tgL0/N8ZSmzgTZbxi2sREHD4UfW4ci5Yl3nTo5+cMU7QLOKVd1UANEQgZ3
V/aTf201y3ye/ZYGiJCEYe1wbJQ/BQevJFq8y2DqbTcU44hJtFizvUqR5FeqW6yTSkoPu1IC67xY
Igf/sTeLjSdR06GmLLqLZKb9HGZWZv5UNOCLrfAqd9qamTmclqYJaBEZLVGXhfw6FppJOP7k7JI8
4O5H6WS0dq1ODOinTT/P5Fc7YXMek5z0IdrNHY5ttDF7zrXD9zqz6rAvxrUuUM0ttPaCwd1Q1Tsf
BuKFMRVIdqLZyzwevzI5tc7QXoJkrUUIQa/DhVXL9Ei+SNSFWVrLG5x46REpj/puEx7ThaiwOXEb
azrPWiJhgGIfKqyF+MmuIugskizOqidOF4VYGI8rmdHMOzYcxSr8UhUFOkU02Xcq99Z3IKdM8CJT
RdtY0sGDrYQZPVHyZklT486olfoaDMDH9jpPc3x7UC7CkiKPeHR3Ut8npRe1SyQ3yWKYu5k1VeHf
xVeDMOCe0XD3l2KoAuOOsTV1crkaZiZSYnaUoe7nKW8oy9aCERfPIPANJXZxcjy3uizaZTkKs8M0
V48sxm2GBbpUNiPGRGI72gRlbdzBy9cPqU1ST1xSaZC2pq6ZSq/fImieHGN1skRNsy7K5AG99MjW
ICYi0TgFTWN9Yhms/nKUWw9bI3YHdu2BpTJmIdqULV9nXrvQiWUQVJSa3DurMfwqNMt2PqxitQtz
yPj9Gr1tHLOX1xRbX1UH16+b1/I3cOuvXj8VJ5tWLdAzYd375TS/+KQ2Hogso8eapVhw0xGe14xT
jWBZ4jxOObKZ248PEdZ7Z4g1npvzEvA2VqBfj0qtHeT1ymI/xobdnKOAxZByeE3OzJr2tlgrmgXx
1Xbgxjx3M1jCCvVXtNW9/NOBxnpr+QEd9PpNmCdafJ3gjdVI1w6c3qzpjwJ9C/G0i5Y3ntvboHLG
6DwLCsIk4Mr2sTnR2a+ZunTSOS59/RxHFQ8mrbIz45EZRbZqnlBGihuskdOXkYp7/4cLx+H4zRnT
IoEdFBngF2Tqb78sJo+cLpHTHY3UMXHoVe7nGYFhaFpZcmNonjq2Ih4wa+CJz3swiyb71BkQbf0N
/Wm38YASXn38pX5DFK0ADw+z0fqlPPHbwTcmFMkOgBYciXVqHEYCTrTtgOZdLqMxHNpWJ1uW5mU3
Ow4bT6SpoDIQzAcsVbymYsjvkKyuiD13OcK6qv9SKdnlvhuTIts35BQYLWTeppfG9uNvDlHjt+vp
YdWheYGgZEU1vzmzS3CiiuZue5wa9jSGYLSf4R3M+3oG3avSatwGieO9DFAVjqnvEIhn2d/8TKGV
jZkWSMolQxLrp1VZXw2tLb4OAACu0oXGo2mWzrNN6vl0RWJFNVy0SeKfIrQrWwimyz6deKFBKmRH
PPbyxrRo1LdTSb1agFyggFz21eTMF4IeH7po9OIg4fWDjXPwbohb97MhvfmlRO9BtC7WSgOqJ2ss
RiTq3rEuThre9SmhccpBGuQEHIGc/9PC5J38nLhkJX6t1adqaW6rolnXlGAt25H4PQWlJD7WTN3P
wsmJ150idZ07FkZX3VCDWrQcUCQND/FiEBEOEaN4bh2du+e+WLzhsonGmIuUMvA2JoZOOxnniRlq
MAYFmYEO3I6WyF28nGLLD2L4VkfC2jCmoI3tuQRTkwFNuEOEBzY/RRT00dYkEozgB8SiPipGKu6L
wERyjWVvUuzG1PStmWC6j6KEXxxXQY1SVHIiKSZKeZDGZPvNFPkcp80jp2+WWGLTHk2mcKFdWTLs
pFG3YRkohG0tBzefEPTvc6axAacISqH08j7lI08kroN+m1SufujT4tlrV3XOZEEWGQtEKO2cDhwq
uXZBPvop6aRcfDYd467NbOdksXFgJEBNHuWYFkJf9sUJb3v9bZqN+puYLWpDG5H4htc23zu9337i
JIrGmYhEJM0c+t2i6h4rQuUepwmghjmxGvVr+wEgJgDbsh/GUCwFM+C5GDHkLjHd/A6NflYRik3t
5N2WTqsfTEvbO7uy62+yA5JgCk5YyuL0vCXomR2gZ470aMMG4ixSqOveSz3eYMFq0kcVMTF+z8ko
EqL3QjKUeUfWxi2ER4t/ydSm+UHXe+WtkJvccTpE4k/uSJWwJzaqoSsHL5PUs2DdQpOS5VLOHg2g
0m6eRvw08F9ps3QK530MDAB/ulddughqDy0b6IFBioTOWQ0PTJo43o8g4Py1AxT4HDfLnP4Qgx46
BGO1vPi8pcsu9RfFNIixyOSp770mzGM0ZXxjVdh9yzEhfxlXUFghRLx9/daTCGhi+SmQWSyC6z3A
kXay1ld1Wtd3k6TMraJZ8szcSe+ntiSqhVkcWN8hpTOyHl7TiVjvbTKJ5haWM3cG6QiP7boXqyoG
eEuvZ77IwXmRIdKO9HUcl0u1NiVqlKAXS+zOV9NAd+31MSTskEIirhrzOGljvhIxHQ+nm5vb145P
5fD4lCMCbteic9KUnIKLCkQeQW5gBn286joiCve1PWDEBpdBNJxsaThy6ddG3pL68z5n9h+OSfLS
+st8tfC6MRxhuoK9fKIX5sd0r0w15XeNEmvEdZIHnFMoyTT09U+NHmjOVcgONzGMgtO08ItWcQ9N
nIVXsA5GWnCRi+soZiYUKm3UuyDjESRl0Bp3FfNPXPelvLFzV36m4DGRvLhD9wioio7gIvLmaXEg
hm9kPzY/4oyOS2f285fK4DWP7LY4GWtzBS8kyxon+uj82qkxfPZzn1KjDasl5U8qbZo9QIBQalt8
/Gv/5nWTnHJ6t1WN3ccwjZ8mo2jKZTAoxCyVFEvI8PL9349mSutSCVpDVW1Fd6Cbq0sFL2TbkPJx
6fdd81RblOlMZOmp6bVWHksnuRkEJy3yyHoWdwNzUF0E9fOEzm3bmk2AopJ1th4ZqZJp27Q/zMrh
huQ5UOLXCS9jG1oVGe/0+jw37boMYxDoLoquoCOJTZuaN2/5z9lEZ0LZKfiStetNXbLuAhzQni2f
R0IsuvtLN1H9LbGi+MZjxLa32vX5yQUHAFaiTQHSB+wtP/G1vPUDOqQxAvW7chzoIgm2SQx89v3r
3mAR93TWfkwmPEs+fSeaqCCJxY0XG5KtYgygtgWUIc2c2/djS9hRUAr6ZzWVsOA4DHArs+6Vi3op
1dxInLPFaS5MJJGOrtDM8uKU6z0gjU997UhpVvt2qSnOR4vVTMTDwzxSJquc/pxZFzb0LESMEevY
099cI7cguxnZVPjaEgRPIE4+GpEzDBBsZRPlZ8dqokKOObiq/IknpJ4oTnoOOyUvNjx0hy5oXfBS
zOZQPxPhTIN6pGfspBFHhZ7C2XHxqNk0l/HHvdoj1mV28rgadI4gt9YifuRUPzPgtsv1PNFNdKFa
jFItTZsvyqNqZxZLy2LoBi6myfKWMGxER+ywa7mD4oyHTlQZZnQ3jfTL7AJb1qliwH4G2UoTcV0q
MdmDwM6d/GbxbSwsSGDpehkrUzhgf0homfBOtnSnK1QXV8Q4WfdO4+mfHqaAAwaiAu1WzotLbCbl
ZVGr70R2UHI0mD5OWcVLlqoUwodXPQ+D5KotkBROwNd5VYaca9CD498iXGieqEpI8cMqCDsCdEVA
3aJlej0aJovsCGP3gUglKsgZI9igueGzny9XuU1L/fUfX1/MuczYYgxLtz/kyJ6q2FRO1dJPnyYg
R/sSuNShHmte6JSqMvYki8wgebKF8ha5WWS6XCl34USGsmQ/kRajxVK7u6TjAPvaKPY69SxsTqYk
PwKGQyQzbJW96AONBH7xePKKbDxqX0AWiwliXCcxhIKqnZYeHwZ62z/3ETr+13L1/735f9KbMqbn
hPifzfl7vPnpX9/+Oam0/v5v/ltwav6LP8KUDFlc9m8mkv8zqfS9fzH0cQmDsGyM+q+q0v8eVWLO
X63JZOJwQOCwysTv34JTW/xLcghjQzNdzyXG5n8F0/ztCEqKCM0ttKaIJtb38dfjcDxO5uKrWh9t
WzPnRrHEAAxCW3ApNNnbtI/ailWeiAFOI39keqyW5n/MLSVwQQSzHCphBKB1fMvQbRqMJsMy9YdR
28POmyGgWCmYc05D5fEft+XT78PLdz8q8KUJWRP5/9sRaetkg2WVsmfQwF5b2BZpw8Ccd7QImj+d
7d75VVzK9VRHtpF4SxBZrClXM4Xp4bX4J++82QLUzMN+8vTp41/1ZiT7egHhoDIEd3gofsMgT0OP
xVtyAQNyAzbDbN8iM3VfJjzeVHdZ6NUOIOsI+IAycS99/OFvps7//nBYrOtTjDL7TfsCo2oUOarv
D0YtXAS0U7KrLNFcfvwpv984afNcwpBAsO34bynEXew73dBEGsWLcIkssGG0beTUeKsDpmS++fHH
vcG/8KOkjd8fmTfNafO32b0EruIkVk+jfHYJI8/bnxzjX3yaLyTrlRcuXtq/19b/yB3//TJKmxEK
oQEwV63fkjajJM9GLLR6FetR/0ecopTJAfLj3/VGk/D6u2yYshxAIBtIZ73M/xjeo3axqrzJ9cFh
hA5eyLhkI76ZGfODoCzlH37Te1fxn5/25tEAchs3sSz0wR+w6gAQ38QDvCWV5WpTB0G/afP8+8c/
0H7TUHn9hXShkHaQ4MQD+WYpmxOCdseR185KXHGD4rh4iE3yxt16QfxTx8SCNnfeMPthU3B2dzk/
nhXtNB239WGgjb/Tk42UavTUj2lyjNMMzRWPcd98Xtp5PZ8wVMhpCn38va137v+aUEcvEIzE72oR
v0NDX/e8RumomUAIY8xXm7fE4GrQaUs7qwmVT43pcPV2FFri2Vw46GjLV9cemsqQQVdwA3/93wzt
//hkyne/Guvz+oZDQn4bbJcFBfxZWfQ4oxLcVYncEqM8hY3v9sxz4+7LlNK7Mkc3KLY1GrbzVAGQ
ZzyLzaacCPUcwE+Bs1rN7xWdX4sOO4d35tyECVzE2m6vbXcxTkuOYBfRHkJ6T2I8In3mQUPbe8Bj
HYWBkzZhKwxvj6gnxZjT+jtQuuc+b7vNaBQ67CPJWb6QF4S9fNGEWF3nYoaM7iz0TwiU3Y5Gf1MH
VLWw4eFECMD4Ey34SzOZzUejBdifVfgZIjm/5LNz1/s9yUVoqY+E7vU3/MnVH9qpv78g4LMpDHjr
YT153puHFfmA1HJcb3qXXBs5UdlELZ6sdLrXS0Q1p6lKP37O3v1EyWItMZes682vC0DQToMfLHl/
aKPoxCRnV1jxj6ASl62D1zsP3KePP+/3dZuWLKsNdCGaxcxQf/08EO9Dxb3pMUMXJNsT6HSK6xFs
jk3azscf9ftj6mOkcW1O8TSEiR749aNizYByHGp2QX+QCKwb68So0/vDBXz3U2gxU6aQDsE1/PVT
yC4zSpIk2e7clpZA4wXGUTex/+njH/O2Mcw6xq/BruNTLVoe29GvnwNuj1AJRf4x/bV6Sxcs27tT
iTG/q+qNiDoPVS8Pvgmc+dz6j60dH2qRp39alt70+1+/BiUMXBuLRFIIUb9+jaapxZIOXncQeDV2
YxMU+2jM+j3extQPHebqJ9Sewa41659FPXp3eZ+NjJfN4apcFucsc3KOPr409rvfyUOFjwYsoGZ9
s63EGIWNKHG6QxXr6mS2cheYGnAtRpHrCOcByXUaAYnkVS4aY77RBCyFbmra0HyreutVxc8CCd51
7k/bZRmfkV/bIe5p9XmuCGFSfSqPMk7GczUX17g5/lRcvP8DOMY6xOwI3v91D/vHLhxZbVDO/shF
Tea7GHfkXo8i/pKwioWq8bJtBCw8LBkCsWO15XlOlm9+6t0D0Q5OWkVRODEa3iUcYG/rxavvfbH8
XGRUnR28wvtRxQRK5ZnBXkHyWZs26g/lkfUmFOLvx+Ifv+DN0zky1hXM+NDYGVlMQlRQnZmMVbiU
zW2ftizyGjZXlpknqCC0uRV+mY+fAufdpyBgdALc0kay+eZ192fWklnqjvA0DJlrAJD8Tln1yRMd
xK3ApJ01TI9gBJMfXRv2eojDrLZJuHZQtwxxt7fNDq4ICovNmFpM+j1bqzDhAw+TzLIQoqr1Ex+3
xVLpYYrJd9LMiOAxgkdox+3RGiTgJGkVR3z737zB/OzOfBBjTR2qMej+pO78vXTzYfLhu6ZCcE1O
S78+NJKkhjzKWBCarHisooM30CQ3FixA9SKdP9SJ7yzbaCwxBlLX8we/HUt1Re5WLYvOQRFEGKQ+
eW0W8g8x/W+zDtYniU+CShcwuENz++ZlJn5SKw+CwGFu4/vccmLQ7CvVBRS4u5Ez+jzatoZ/Zmr1
p/iYd/ZChMO2CyCZjYnC+9cr2se4LKPMhBrnzV+j3v80ec0dKNOXwuu/c+R1tx8/sm/DnP7+rRLp
qkWSC2ivN7cQiUg3pSmPLMfw6o4B1LU9R3jVK1AIzrD8JBfzHk4xCIpZUdwIH4RmF7erYOoPb8+7
D9Oq3/VsOHbm2205pZEok4H3F1h0vzWVR7p9Qk8M/E4cEhL58vEvf2fTxGzLoDPAI8vY4M1NdoMs
j6HtcZPndjrEyorCRfvJH86I715fi04GTxKX97cU4ayz4toSqjtwRm5DxDUJFsosCN0I8+PYMfCL
B6GJYGwKzAEIE+gGFLtpMC6WBfztx7/590O570IBtzmUC8+Xb9/XcdYrcSbnywy9STCdF++7drmi
sxiHcWkZoerK6gA7HplDrs0/vMBvY6xenzWqIS42dbsPeP/twz1EtgNF/oCtNfmuvHZlA7RxfwMu
XZYburUwnWrNH8BMcuVND25DnBkoRVgPZeMlOX7CebwaEgcUr9332gplDOj846v0zkIDa9Ql8sME
oeq9JY4mhp/OEt3ZwZ2idk8fdNiJriF5KpLpHy7JOx+F1EJ48LFowzFm+vWKpJnVQSTymkO/ROWL
cGaCH6uE6EzDNf8PP2sVJQjTXVtqv61qaiXNK180B3zP7S3WdJeBvhddZG1PF/F/Go3vdLTeWcT4
JNoilIikSr91GdgLZqJa80noMWJIFJX6XMYNUwizWzYmdA4sV8n8h+Xj3UvJ+VpglbcQoL15n+PY
rBAWSxAvaBvDUoLHSLPSZm7EiPXj3xfIdzZ6Kg08FF6AVocV69f75uei1kQl84gI5lJ7F39fi8BN
jMsWW2nFmKjt7C2hvz2JBND+0OH1rZ52y+Q5JbZfycuVOvQYT6j4iwcbQ3XCdDn3NcMEphGYg5rk
Gz4444oRqET4mBRMQzpGlgkuOXpEobdqy7fBIOEtjo6JJIJ0wuCQIjJFswjdOmOKmKDu1zZ0ikJM
0t5nVjm5O2zZif3EsDEtf7oZzRLEZ5xgkgvgTKhU2jRvky9dUVvzOiMN5CFJrVLsDFNZ53KZJuPQ
6XzormVZaf9K9AiUb92OCd+efzbGfTm2pAVstAjyakssp4ivfK9aTW3SgamjJeybwQhcjFSVUR+h
+zPunePWJjE2SR/KDgzxZtKizk44yGImTrpm5A/ue453pZqJ/s0GjpNkngQKFiPDLuTNzILnCZTS
HJkXpdFFJn0H1GhbVcq1uIJyZn8j15p+iUe4AtwQUbefGZMYGG17gl8/jYiyP1fkrPc7EikC786s
kZHs9DzE+kQRO+0bfwrSvcC1BxcSzNYSkqURHKp2JcQV0dr+MwmjxpPfSf9LljTgS4qyXplQuKFx
EisgkL6+pc+71wO8xUhBXiwMYD595Y6bqMwm4jsgNDKGuiGWdg/YZD8hh7iLgDkOIol3pO4gJBcM
2POV+Rjr4YzMagxtjLXZyoWUGkIkA1VnXwKNFI4x7oaVI9kJiJIuMrddIFL3IFbeJBXzsmFaFV90
K43S6xlMCQ07rQJVuTQwK4eVXglQEJFC8YC5aOeufEsZlO3OWpmXsGgXgCkQmPyViOmsbExOC5BK
ICNOKzdTAtBMV5ImNvfohKwtD6cs1xQVHWpodoltt1I4c3CcTQ+pK11myV/ym5zu0jQKfBzTZG+J
AGl2U89sOyMSmkRanOKjkxDZAP8TC8ldaSTTzhr9ZL+QbBzOBrzQ6JUcSul6F6000WrlilYJhFF8
QiAcgYKSaA1/1OiJUvRXJqlX18BwVk7pOuk7OWZqn5AKAlIBZ2pb056UAGufy/mpXImn5NgcPSk+
p3p+klNU7UYTqmaro6fyla0SQ946DdrDELmiVxZp3IMTXuesKGIA4fk7c507I0hdNgjXl22yglxg
7QyfGobedx3x1Aicu8t+Bb8UKwJmhgXTrVAYf8XDpCsopir94UV0wGPmv0Ey+d9YGf1vygyV5gqd
qVcATf7KorF5eB6JNgIt5r1ya+wVYZOtMBu1Ym2aFXCTragbP7dOpiZU21gxOO4KxOFvEBHxQuwi
dL5zd0ncQzx2X+ek9bqGwW0kRrSKnd1+NSxnj5QISyeaxlEdPMOuf0yEw6ujkxe23pZ+66HHqS2E
LYbh9qAXPH9VEM+DNM60Z01Ac3UDB6flSmH+r4rt4pfDfUJX/5NdZPZ9VFZ5ehozF/hqkCJ0HdF2
10R5LBuGlBM+jc78jkmEepL+rsJeZBYXSJLbH0gBY3dXzHEdZmjcnctp6pB2DXn0EtDchwJZuSWH
bzjL22X2py/MmcqXVq1ii7nsrOdq8totRzR5AzNKfU0DZv5d0s2Hnorl3sdp/3Xo+HNmA4YrqUjN
+TXFN50I1LIFA2u6cIxBstVc1Q+aJyFxguYpif3mBxKSfJ9PRvPkNXZ6zNoIQRTgknwPArR7lHWD
PsgDtrKFq4+NSC8dL8frzD03GUrHLnqWjILrpJvV4kMLmZSDPmj3KNaG8lgqEp02fYowYNWlLTsf
kJ2/CeIxSonZEaiuS0aDqHGSYn0GjfEMlyP5DDSbDGOv1fYeAKAyHqpA8BM9lQfJBQ4Kvirq9YeB
qJTxKo4YMac+qlUgS8tVDYjsUiSCP9VBYPuqBht6GzkGlUhzdlWS3GQjg2Zad8C1IJzdEI/ZuLuq
Lpf9otEcjPUkyoPnefENNqnBC5WEdsFLhN404u7ShF+V9AHKiiRR31s0gbdiaa37LuV6p1kOtGJG
buAnXFToW/OFwaN5q2SrvpMEtEpg3EUNhCIxMefKpkc5gQ5wDT19slpm58pCXbIMHRKhWbVPQ8J1
XTwPVZcVQ/BcdMJlbaoS4cSqONZBD+J27OSNWBqDhK46iG8mUOBAs9yynP9ayMjwJ3bg0UHxiys+
IiWIbVltRxJVQgNvzRpmvWr4fK1XMXYN2FVZs7xJZR19wRkWk4+i62c3dvMtbJdltRstkbWBEtf9
JbWzynZ9FNetiYzc0GguMTAf4VlOGMVQvFQxInZE1kz6TSO+0QEUNrjjkgq8IongBgpCcWrzaM3u
CGjiACBGBYygjv/Dq1srjscCHNzCuHaDAwRRpI8UDxwFSmpvQNYVCxlG0YxIrO3Xp1wnCmxdZsvP
aYnAQdQ9Yqux5ksW0szv/L5V35wsQc0ZAGLdKJxdN7NbInHoILM/Fc0yffLdDq3eqrZK19ttw2+4
lBlio2aVHVk5socAoy6CQQMXoei4agR6zJ/M2JhfTLjFUDMEok+a9tEdCe949MwEKR0kyLu0XvI7
Svbpy6uachkHYZwXaO4JbE9sfp6izQcQGR3phn5L126w+48Vdrca7hhyYmLcUwOFhkg4cm2U7pr5
BKMQMVuieZJgYrcsva7gSWPNSm6KPKstlPtL/clwMpq4BHqvfsgOxcgJXwaaGnA+L7VvcGYi2CML
m3Ik/wNDw8Or1m0YO+unO2SauKvV/8pqsbzUdqba0LUreHptJvVP29eoPaIByqehFJfFZSfvDibm
z3bjUvLeL3Zh3AW9yWrmucPPSfnNLbJGGv8N/rQeZc7XCbTGrQUt8gb/DiKPAGNC2vnOiXWM8CGy
mJ1TZcT9Y5Om4GFaA2nZwIFyZctg63yhovauOBNHe0VqD4sYVlT6pr2jGQg7/vNCbv11VKr4MBTF
cBRuya1h27x0UPzrjfTi9JMrCEJXCBS/tGqINu2SvBDuxf/UKaW20aCc7zIgb14ogqkUkcxb25ng
jwyOe7DQBm6YaIptTvA7WcIrQNgqIRNThIy4KDPC6YpYADqpP0POvwJqscbhmShv+7bdjjrIrvEZ
nE2dgN4uVcvH5i5E3NK6TjzshyARsQ+YqXE1uQYJ0TgHPrtkDJ6CCfoci24JTrli2NhY0jzJtD8P
81yQvKOHKzMe20sgS9U5Tqp5Q6lPCRgw/qOF+i2QCfRXr4LRDITnr6EQ5yY1LZY0n784+M4qeDQh
uMALDNfikXobk5I51d+DcZ0z1f0+obN8QtjmMS3DSHIcsnp+9KcxvjMReu09cj7cumi2KAPRKadN
ffTH5Rv9v/JrXnqLx57DRbINEbPQc8IJvXkWSUiYX3fKDdMBpWeYN3kp1L7TxDeXEdQoAdzglr/x
aMpHxr1uDJelLojvdMeHaBl5n7SJl4/GND4LLxLfoGa5D27XF8c09R4m3LpIjVddkUkptynTud7U
ZANd4T6OwtqyT5GzWN+Jhhn35CqaB0gty9ZPwS6OWJ/p9ib9BhJpsIvn2b2guBCPmZCHSk71nteJ
BZjMdoSZLmzloAiClwH78ONE+Nl1UAYLqoVS3CvwMHggA7GXrF38tK54sKTn3c4w+fZyIPxm71EX
btq+jXegsdTPhVETrrq4T6+bjMcAhgomLRxJcMWUgvklSpKasHS3IQOEDXgbO9SeS0Ev4uxbBqnp
HI/VsQeeBAJTGJf1DJ4LGfJjj+V0z6u4T6FgUahJspeAwl+XQkZfirwO00mAlWUJzDbK79M732zh
A5aOf9HNKauXmeAMQsCZO628KZWsicXDnMfQolhO81wPV6402HZK2CG8cG4Fx2TKborMScgrIpaF
966tOJYWxhpdyAxtuAqiPnsqbeEepEUDntZazY61KFoaOjVIoYyc5nKmmc2pzhtSgEwtMK8AiNYd
Nopzm3nTMRr6cPC7/IqUCzjk1eix6sOVnhnwbKqx6wnIyOaN22VHi2Smp4CZKeecb21d6bBEGxo2
CqtQ5lUJXtaht54mMhxPGFi/W4v7M8I48UzFWjwXXVmzaMEzIR3M2DsDYN/e0+Xt7FKxFOjrGXoH
/Rp1BbOecmg6DnY5EAWFYVFsB8/svKOHC5s9BqvwjYFjD0vo7NU3tG9qc2P7GbBrTfL5wjMqs+cS
md6t3fjlLWQYQr3SmQU0S4ByFp1tgsrJEpKnzWU1XvIHNqgAzrKF+T0L2x+fWioe7lvKIackuZRd
wnCdU6GISVsCNOXslvTOFoI6V+wp/+q/2DuT7ratdGv/lVp3Di8c9GdwJwBJkWooUZIVyxMsuRH6
vsevv8+hnVSsVNlfvnGqVlUlFUsgAZzuffd+dhVipWd/zMk0UwD1SOViFlnVf+mGjiJCtwzFa0Z6
JTLZtQ8/6l0qPmVxy0pfWct8hzU6/AgIikO4FSYaRrw17L5odo1X3SC6xN2umV0+5M3MxNDFUNF3
btSP1c4CgBpvCDPh9YiNgQ1OVYLJj50hs9ljVuFHGwCF68t6Jm/NTWVmb6xS5zUqzaXPNmPHp9ym
sA+xOaHScn2EwVw0Jfmqu0pWu+fcqJejgAZcT2D12bzym1cNvNHBArzqbWJLLtqFtqgtQE+HlATG
GQtJGusW6VQtNLsgDx2ekray1AX5PIQfx3YEhxsNCWloYWQXr8YwcNWhMckDnSxTfvx2M+1RiwZ0
1KZIAsgBKNNcsQJW4jxRXQAAiQKzcbosoBbErTeFVT7Y6MdKfJYp5R6UBQkHzGzO9rWgCnQLnXoW
O5ThUFTbvnqwJxQVPEL6rcEUNny/zLWph7S1nqVXHSqG8aJYEH7cyLEfX0eH2qg/GHYd3ziaiB+z
ZTSAApblb4WQ7inDaxcGNfnNj1Ncd8t+pgwf3loDX3pvjDqfkV05nzopQx6es8ylRv+vgobAM2Hs
UvuPibDFjk8Emtbz59cSdXbC6SXx+bCKijh2X5O0S/MLOcAwZeNbJOkFcZ3GHOTkorHf5XFidKD+
dwmGWAN0UPXs6GwMJelBd1qKKC29Fdh/DREADHWLAzeLMOsX9G8dUH7pDciqjHVe89t4NMmgUFvI
HExd7+doA9+LFIpDk1f6JT3pdj8Vg3kq0CqTOZElT+saT+8nA1n1uR74jwb1FxpUg90Jlc8/SsOb
l/7le0bO8aX4+r//c5N05FV0SV0nf9ahfv+533Wo3juhWwjMkAmajHqHX/k9JEoKmKhIwn5g5VD4
/S44NfV3ggIsKg6gK/TM7L9FOHW8Nx0oyGtK8YocyYEhZelv+xOJS6JixlbuQJrdeoPIZt3hQWAu
XQtMTnaPcL9vFKjFED3zmkCrr/iKCl1vVcv7FRN341eYQEC5ZA7HQCkWLDJZaCBfTziTk7YEdbjO
2hV2dQpW7ipM3GXYll1tbE3RQ9NwsWHxKVlbl9iaM8hWEDLw5zJbsZ0G+kCFgAhOtJ336AjA/aUI
0lGXsQIoW80ZxOGOVnhZ2SAyfKfEWcHH5JwTTiWHKlmuO/BAaM+x+R0Win3Cd2JLK4mVI9RvaB9E
uA7apaeyXyk2oY/9MkZm5OwmSfXmSR/DKNkWQzS31GpizX6OdUkis7Iw9DG1ITOD6TYVTT3dNYY7
xCpUdoqOq+Qku6uyRUT3U6Q7O9y6RWP5SVTo3s7oaEhttJj+xUFY6k9G+HTcD3Ob1eWF0+iwsSFo
2L5DkYkkGgFbbEOxD4AcyjdHkGjiF05I04Ojd/SpUGDEUSESqzMtsTuTE0XUeB8oIvQaalDQirhn
wSc466bn73wMgWjn02Y8uh4N2CBTgMZcoRrB0VSbSeEb2/wEbReWZ1sozzlEWE/u6lYxH0eFf2yL
addYTX3XKDSk3ddQIvshqQLaWeFpZF59nymcJOKuzHfzMg5MDu5Bn2T2VwKN0nsPV6CPBaHZlFKT
u5h6/6FXyErs4+SBxTGAbbctD1SayF6AcWkIYJexwl5C9gewTwSqG5RTA81lci47OJmzXB5x9kDO
1KTsPtnKjlNgsSOvAcRmFgHb1Ceik1w976DOWGRFKyhnpfCcRHzHF6Tqyc/Omd7ZKpAne47mJRoV
3ROvpn6Ui0fFoU+FBmNakUAXBQVtlTF7AtbxZBr5Y6rVxrODeTViX5t9ThBJPjkKMWpR9dihd7MO
lEpH31Eo0hYmaRh23suqMKWyriCWjjHw0nbttumaoHOIAZtmEE4piducnYGe0qs24edEIQRVBUWt
FB6VU454ntl+HIkNAUxhTP2Bvi+mJGuRAR2G7rFTuFVixat9ZhbmFQSZ+ZgrLGuhAK3E2YsjFsf0
Q0MF5pknCotdIV2Has33rK+UOhTwlf097FdyElwoduZ619j9eF307CKLMy8WkrsL1biH1IZ0kmkF
UtGNt7TmiR2bA8OCIbHP5zbU2KonyWWJxf128IbuelS42vlMrjUXcKI1td2bPs6axyEbpodEwW6J
RSq3GrSlZzZt6VM7Ov1Vb1dS284DvGQ0mVBzhQLo2joo3XqdJxqOtOZIePd2aAztV1vBd+mpLL8B
wKR4KLUDURsFDszwBlMK/tEh1kFbcsYQEH0NyL6LrS9BCOuXYPfhC5h2wyfDKd/rnHv80q6BAwuS
d8gLcndGrKNrUhBhjNnghJsp2eXWQgentKZTWtlAJBSAuGpZsEMFJR4UnpjEx/HEDQlv56oeflsV
xhiJTbFhnPSbSkGOpzPu+Ew+LhQEuVY4ZB47o0WbGipAWf0FykB/QdUYgvIc6uZ2dmYLD2Db3wF4
grVMmpHiKo1AIDvbeAUOqjCBCtC8KFSzxDZOmWm8icPirh7JajAU2BmeW34BxqPZ4UeG+4wVSb8B
DarfyD6TR60qjNMyj8Rqi26R11UFEVpCks7PTGnBQL0ciHzarLgpiyCc+vmQZCK65CAKC9ujvcXN
KG+GhvQSBa72FMJac+z00mgsgbKnsI1A77Uw6BqHFIR0goA9nWnYgwJjdwuI7MxxyXTgiMVaIonA
qIyPKV6tQ67g2g1RrI+iTbv7yO3do6HosxpOZvy0S9a878AlHmfbXW+odmovFPd0VjQx3edJBdeb
0eNelxOwbwy6AAszhQAvS3u61KJiBH4rxuPYt+Ylrt1yhwe1eZpsu7sDjRhucLivCL7n+MTKVj87
cqg+eX3pvi4JPVPf6UldlzL6MmVzusUqJn2KuxR/veFqmTuyKASJG1qlgiKk1mkHT6BVp1yWjy91
4YmcIthEGjwb7fQyj63mKRzKflu5dXXw7CIJA9tJs9fSEg1V7LH5zYtKx9lCVCw+mVHkXZQcfG4G
EXpXo1fSoJnX9hBLb09wncFJ1GB9Y8fZ58fe0uVt6hXdTSYWIMteV102ldbfhD0pYamV2ccpp/yl
jeXwG90uIqdrOap2HMguvzOn4VRHnXe9anL5qptDDppySFiuJff4Kp967TGObee5SSqmngxDgw+9
KQXhNfU19NA1JE1A9yp8haV5TPSwZFrCKZZ5+ULLMbS9C7fHKeQTwJGYgSG1hjJjXAVz5XovGUfN
nZ6YL9bQVTdaVNoPXqRCGPTZvJ6ofTENLsbd0qx6ANgBKK7dXTa5SbGpp9C4lInClxk3g9enEJkr
EyhyWd1VkWG+d71+3JKPnO9QbKrwnbSsfaw+W89hccyzhAyXyqxJFNG7kwv85zMeSRKURF+vm2Ea
5QMn5lq1QI2dHlPBt8M0toCz19ZdFjYUS4xxlqc8AoIEM68KJt289sJ24rETyHLT6OKmh4JyKXvD
w72jNV/jIeGkgIRE7hHPc3an+h10eQdKNly6u3rN67tsqZs9lBNjP8NXCnDGacE0rXK9QCPp/sZe
wHicTUkBgna2++rB5n4u4Pftwqz+QGvb3WqpPJkGznK+n44MkH1Kt6f9RaUr7dMYG2JLYDHnpyQg
w7ENWbSb9XNSt6Qx0TadLg0qZnbF8rZkHnbIyOoIjMvsO4Ch2U4kLNYDNtR0N9E8Szdms7L/mJmE
jybYiU3XtE+IbIrbkap1HYSrbl2w3tGCtAZgND11cS0R7t7AqXmL/mVmVXCTZzZoTheAD2MDsoT7
oU7DIMLATOKUoBAC9T8SAW92fjdV9Rgje59TArf1iu3r2C3bTMume6dtASCv5nRw9KW8pWo1MU5M
p+XlkO4XNr7x1rIy4yJDP4YqwGAzPbNTJRnI0KeHUc+j93pW5e85zAFoirrVCmzwMLd11surFWRx
sY3s8ACaivyLSE+xIUB6bGA/jeEhGUYqXHNkppdpLyUhfqNIBraYstoXjRF1X80idTsa9Fm/4FHw
walchyPdsRmcwCX5gc0Jaq95Y1ntcpRNKzYyS6KgB+Z8GZfTuo3Y+H9YHe8qtZzHyAFBMRjJsUxs
wbe0LovMFR+BThL/vECGbUKHmqZbOB8EAVcH8l8QIkyxuWlIVtvW5vrSxuDFXO3k1TTisbE5GxLY
qcVQ1A04HE8XuqkhgeccPnNEuEpyUcBBjt7zWMzdQKWdroA852KGvpYn2KcT86azrWdk9GB8MGEh
AsnyTZYhPquLnBtTTBKYwEI6rWlieXHJrCNdylTajV0ckVkPyfI2pt70ZLZlnoGyrYpApzG2QwZj
BKs2rwRKUVddq6WnSkQzjuqxT8aT+bxoBmTvhPJVIb0LGdru7eyg2iLdIbuBTpi9EFO+NVw7fCz6
ztnXWrhc2kan3yi69maMJmLDvJZlrouTQ1K73m7pqL/VRHQGi4Wguq766EhJlZU9S5dbmkX5JvXy
bbKSWO40ddsHTg0u4U+n1v8gaFIyrD+5ATkYOjRi6cNZSrjG+fBHuU8cWgvJC15ySAvVZNVmOIDt
6jFL29A9Hiy9bD7X7KVKlmxsvT+/+Bth0/niyFFpxqPYw8325uJrUrbOstbJQcyQH9cU2yMsmPjW
o4d///NLvdFEqktBK+E/6vTr/UUTmTRJ6swxdmlF4yDmEfYeRmf6419/fp23qsjzhSyXxGWBwRL6
5xvdW1bRM2gzN1LK8WUXEz8I7J9Gal4mPbb9DJTgKGM94aEXL7UbcaKeVszzlMjV4TqM+XQ//0h/
fcSugbJYoPjzONO+VXQNeu/FPacMYIzlenMGSJkpLRDfyknh2OhR3H6eh5HnLKB+nq/9T/3oF/Uj
SZj9n57SX8pHdA1pwH3u/1W9/guqx1B8+jE1+dvP/w5edt4B3sV9bPECY901GEffy0iu+04gIJGu
suBIFSn+b/KyR6C4hfcQPzOCRdfhH/1eXfLeUQgxlTER9rJh8I/+Rn7OX195XAG6ZQrboKBFgemN
a2XB5Cg4XOr7bCbMMHrNI+0Wz/8B4JkCee1B7V52YMJlOHygee2nZveLiUS+0WUCJta5tIPHg+9s
yDP1608ej8p2nNqDjMQxi3P74D0khNOgWOhwQTU6kAcNlI6Vhzd1HRF4bljomYxna2TWjzdlrUU3
+qr5SeXtetbQ2hXHJnZCaICjT0TBRqM/5+v1Z4U+SarYH0rE29nHFCiK+kuMx74F/qVbq4uk6PxO
2y623NP7B4AVZc51oyNU81e9R0WgtZ0JlTNDO2OWTxAP/Ja3gbq15xeAfy3DxKRHYwh86cnq+QIe
mX6Jp93YdgrgpDepZWQkxw4n+LbNdqy+diRyabI/OfJZmNq2i9yXldbPtqAAxq40wAkQFI309Tje
DlW+GeeC2Ty7n7XwMW2mlrzSYjv29UcQ9fpFkg93UedepYIEsQifX5oFjYP4DUqT5089ZxizLD8X
s6VfZKlHU1OfPpcW6E+HQ33ZkQ5JjA8LY8fFoOFkJnw85B7/TCz/Lxx3tPQWBqb/Xpj+7YUNBJKC
qvxzXfr7j32fUIRgRkG6j06K2QE5AMPp+4QiQB24DOLv08x3NIIlQSMYuCapUn4rW/8xl1j2OyKz
hMksQ1SXKnb/nbnkxx2BpSh3Hgoo5jGhOyoh/sftCBmTagM5OKdiJJEvIC1kOLU5EXU+uZTdxz/d
mF/ufc4XoyjO3Ik5G+vy26J4ZM8WfabeOsUa2o/S4vizkNf+lCV960ARRykSQTZ4kSMGpP+PS8P+
Vcp4V9knfvyeiZYJGF7COp2bm6VsNbkdl8mdt+4A0Nn0Zjqvnd6qRmaoWmo/v7z69f/e9alvzhQH
/wJPH3g+GhM/Xt4wE3BpaW6e8oLaM9ybsW8ouEDUvEQfxOXmAjnbz6/5xiv+/aK8KuxE0LHj1fjx
oiUxT0NUS+NkQyB7LAlIORgFYJYd2xf5VENEI4tRdd0GWC/dRQyu64tTE/Cdaw73oSFC5IINE0Li
TlOiTzBr1gtutY4YWHvUxdXIjktsEiVE9LuaqiBhNKVp/sJp8uNS8+1rEC+KEdIAMGK+9Wh6E2Wd
2Y2Nkxg03pUhtwj3HLJ553UQ58+N/Tn7pXPjR3/L96tKhgeJA1z47VaZNFc3ne2WdCUxwsymsYsY
uYxf9XRuTgsd2nvbqsURdzB5jAvVgIufP72/DkySGmB3ukSS8d68HSujlIpkMAtOkc58n6gBs0jk
XtHYiOPPL/XGjHv+ruzTGVkeBwNaX28mASC1fanrgzhZNKvvtTqGcTsmAptaaJrdF+oB1suoO2p0
qv507cKBgg7OcT+lbfOLx/2fvjioAGZLocw9b99aw9Iq2ZBdchr6hkFiuWFeXRs90ZR+UrKZ//l3
/0+DxGXaY1zyb5cd1Y+DhM0G2ipzNOgy9OyeFkCacBzn6mqgHnFVtGj5zLEjzbtJeMuBJItjMco5
IjNKoMEU6VpRSR3ne0qWM5p6zIDXfTbKreid+S6OR3Tw5ZIyymyvnKdLjiJDvvv5lzjbiN5MLy7C
BQv/D34c3tgfv0SaR+HgLVKcQgx/zW5123Z/fm/mvqif2xbVUu5NTLkLN7DwCKmP4E4RGLHIZl8v
MNT9JLMaatDTioZChIg9vVaff3Em/A+zoEuwhmeBcnFxBr/5mBrtk9EBQ3lCrsENOd9muIOEPOhw
6Zu8/dWbrTbqP8y7DhgAiywUSDU2p8O3Vyz6yEj1bOlOU21WV3Zf2C+hnNV/mSliMUTrdy0wQMcP
kzBUoXEpBg/q0BIZfoaCxCyX/otZjbzpJDZc6BqDANIbE6d6J863qGPVAAyTQBPqRre6WoSp9Ocw
swyXL7QS6n7188fNN3j7tfgmPGeTN5ccT/xvPz7vlfO622BhOVW8JYGsl7XdpFQgbxszX4iYBxw6
IVoa035j2FruBMlYhPFOxlGCxErhWqFu1TIw6FRs9aJ3dyCvwQXH6GDhlJHoZPoaQPt1Q8KRBIaN
d/s9Qp0IMyW2BnoD0RLb5DC4JBrphs7III952LIE4GfJUjjhlleXJwrl8ZXXFem1UXjVcUxDt9l4
Vauj2EUc+kHAb7wV1ZJ/BlyNs4h9AKXYZaXqQ7sj/rLY1QLxdInLTdKzfl/q0i5MGNIpfVE9ppo0
x5h/VP+AKHoXfTM5Hq5WPw0lBDGiO1z3geId7aYm5Vjgt8ZIfa+wo5YSmSMXBK0UdD81Wk5KeVl0
fbZHENITPjkMyLyMZkm0QwjR5tqI0Bn76EMvFZ/hYZlGfNCupSTh2oQox0/tvrQDCsxZjHAsqus7
NyryNpglztONl07yKYoHlt2Md4RGPUOORAgJDTeeoi1bA7l16drz6SrbfunwtiRB6THbsAVkIh5r
VoEOoVeEprFDDxWapQYfPszxN4k0d68hF2cDK7OIKUcGK4lnLu086prLDaLf5lqbpSd20VIR2uOT
B+UdrCiJj2Mm+89emTlk/NFau9CTtN1Is4iOwHbbXcuprmqq+nmC0PiBPnVyaYyABfAfGp8W3BuB
naDQccGR7wxiiD8WWMM/AGSCX4cG/wsvyvw1IoUKmQ8lwY0+8HiCGCPfBUowyO7CHQNerELnKBaW
M42MRdMWH9/uF4tefTDbSVQ/araXZFcjrpvMuizLXBaP7gh4l1DLOF8qd1O4Slro9wtmVeIAMPWF
Bv8rjAklUwBokfYzEjkN5fcGH4qsP2iUSE0+bpaW7WbBAeHtNF1tflZ7vq+yTMnvtLG60gHhmsz2
mvXSeBORFF0+1YtfEGzxftY6ntgS9iwKy4KuYnQR2tNvYa5IFt5KpO8c1vF5NfwOKVwQ6xja6FWC
UEeyl1ZaAHnTQ5+PmMovo45Hn41M2YkVnQbXW/tgXRzrJbSnyY8Snf1qnyPRo/Rqv8yACZ4mA/FU
t4LRdAbQo5rFPORahdwWbdygl2SEegHgaH790th8OE4c1RXbuvBpcGCdEZ1SXYGaNB4bXZH8FjCZ
130/Mj8znYXAU+kpIpAQSqEfIUzrMMCx8TF0nf8DoQh2OuT91ktrsFITPWbyJ1osNcehbJhiqBN6
1xHM52uJ2vceAg+LeqIxo57nSPZw1M1tFlE3JVw0rLzuSyPVrZQtQM2uG/jL86ct6HCmlNmt+U7l
Fxj0TJLlrjnvRbIc8+QtWSDtPkJOcBxWnsiIVPtqMSbxOArEuoaRLvdDwnHDVFYf7Cwsz/0M23VR
u8fF4N6LYuFLMSS5UhbjNoDLP9+n6q/GdqnJrSMa9aBno/3i5ayiUm2P6pzVtpFR85yiiDWDOemW
+/NGYc0aiuBzmjsvhsqySbucR9vwYWbknBjqcpd7gX+foFRNP2IZIDe8CvUjleGsuuY14tmdjUll
1bDwdFW7p3w935NmwCa8qnAS2yKrn0N0oRQ4M4Pg0xAUwYvTrUpeR148cXpdyycf+RmU89W0zNeN
1qJ9O29wcF9KjIApKs7z4cdUW58llSlhOTYIoYD8k4aI4toZLFp2i3cdF7b1ErsmvXGWHT5gbczp
6ntaOaXbuhDhp1yLuXh5HkIitNN5N85kj29KVp5+004nz5q6L7nseEYkMbO5429lJFiAYWsyt1Xq
qJLFqN/FItgY4L0/ODzpY9mRssHXqa5MpCP3CZqjxdfQrBTgLBFzkBghjr16Pe0yF0c9SlmZ6Gbx
m9OR7arlpctwU0+RFu8LQmbZpTklby1GF49mIv+6JlaBF7i3EG/5vfDk0zyCJkkzD1N93+jwPul7
Jn4e5/ZLXEzc07mGrPxtEiDrd75HEM1doSkpr53FNg8N4QVXtaMuX0w92RRq1Oe9qJ9TUVVXKFjb
Pdv9Zo9jgaeaGFDlcxZy7gN45iuJMfBJo9x3Bx7YeWm9nvGq50WxNZKVvnBkM+LbtuOTnN9Eemmi
u5oSpgCbvGdEFm3O5EO4RtTdyTk0poNXqQdEVhRTk1GFzb5ohXwiP2cmUYnjaLdd6ZrTXvYG9kDG
FBUPi57a2GjgxhoaWV4BrVqWptkTj5PZcpNNYxHEhEDwoKWdSNrwUc1Ab5BD3Z2/ISsRe2SSZCK/
pYd8cT7wrpMSsQmTIRpxRE2YulGGcKRF1s//WbkgcmhJs0tbvYnndN4xnpdNOr28UXWO8Aw/Ld99
tWt5XRoe1c7BKDYt1pj7813D1DHLTTqJfN206uOc6bdZgjGgHuDMBmUcyeschP+9vi6Yll1zpSHW
AaP27S5iOkoyBpdhecyOcdfaph/zypO4nYXzfZyEtKGn0W32S2LnxdaWQ27fz+SGYv+arGwNtFa3
X4gf4q3hT8uncsY+lOeDdcjogYJlllDNL4vR4afzITaaB6EbE69ImHGjV7W4JOl57puNVLuoIsEk
z1YkUkdydAOr4pFXV+cb8G0uUgf3EdvX83liRUnEinN+d8NoZlmb+xogv5ssn1qWodP5/bQM0mFT
CgEXY9lY2Y07eLwinj60e8vOxss4Wlrv+wtRTIX3WrsIh4MCMdgeCYHE+ljbLxEV48fzW+HMGYMi
M0JxdNCEX4imFMf0rPHNOjzOqHVKQavWLpmJlhWWEdZEihCtTc/PT9QX0kjfqn3Sv0mGsyb+2cJG
CMsMnNEjlp92zysnHu3YgRoncmxpgRs2rDAwQcxdVfPSDCnBv0jTxC1F+fXESZ2XWidhgCLrxKR9
ngGtrM+KTUWYXgFiDd4PPGd4Hr7pTgwbtQAhQ4sQTAXodZgUqqgdQ3JZPPxJ5aA+bTr0DDOzIX9h
F9XLfA/cpXX8mqPak5wXNn52xMPH/Q0UDs1wryHmaGfht+yF1gfI88m8h+BTxrdwsIi0K5lGjy0J
1hGHRgjBrPwVb7uOnLJ9JGuWTQgSRvmkTzgfyxr13Y6hMt1Zg+E+DN5c3KKP/RxroQbyLO32dt7o
vot/4orss/Q1IsYAHFAD9cbhSB2QMs8Anlke8V6wIinnb9BT8pTsUBaHONqF+0x0A95Ke1qJdxtS
vLgljCKfuHUAkhS4abHW6Y1pdUIErJrFgZP9TCp1XS5BXhPZEBIE8ipJKyZBwZiZDNlk4vrojN7b
Ypbt9ctGTf6XKeSSNZAxajnSl8G3GDlZwVqFcqqkyoZ2NQ8n7YGsOh5Piy2fSpUU3CTTxslHBXCi
HU3ihNmqyb8Z2eMUakvXxB5WJ8wzEEsbLRiaiTGjDsoZorSryZQMVUkzMPT1lo8Xri7FJgPpxMYK
Jz7pfF5Mwph5GyFHlX2t2GOyushablO1hgsNs1fohbxB54NhpEdlfYkIvWbK65nTKodm7xX1tHbv
EjJ8nUi42FMtxTGabfkkEMN/MVayCh0zQ8TI60Qr3TFYP9uUxW0oImar1UmMx5ErB+d5Ewkik6Nk
wdwuDTJ1I1f7zTrE4la00Mc3YU35apqt+vnsSKt65r22YQj1OS9PEmrZJQm5OwyffO6VbN4m4GwX
74lTSL5ao6N3V3Y9MOJ6DfMDDRB5DZdA7TAaaiTKM1JkpWcdoGnr7oED29zv0cgOPg7TVuEQBtR5
huFxVuntFz1bxSNcuOqKb8ysRJ2HW+KmpE/5YWhwkigcFhZnXBxs2bqzWbGUH2ocDcd2VXj3b1tm
Wy9enciY0XWVhQ4qvcBW7yy9sePK8WPcDvP7OXbW6xhh4Pt6AIvZMUKYnTntIHzGLo75zCl0g65w
rd21OGRm5C2y9LZma857I7K1z0Nt2l9SOaxfc3aVr1U+d2y3p5yusbMYV6IGAUBAW3VB0tL0QVFP
2w2hvjnhX02ZNlsc482ljTzzmLjoU6PUSX4r6j56wM5BwNtQ5GirOlu/WDwbjYhZh+9jzc0+Y8fm
N5FjnXTslEEq3OH84sSa4+cTgdvryKVbOTrP57LCP63jX7SODVOoIuN/7/Acv07/uvk6J5+rP3d4
vv/Y7x0e3aRjY2EJp9bkgH6l9vV7h0enmUOzlJomdWTQlPyj3wnYLj8EJk8qxJuramN/tHlM8Y6d
pHBAwtAwOXdm/kbL+C3kFLwMl7c9OkfAeCTknh8rRkQS5OsUlel1awzJ8gI4ljSK0nJJCteRqJYS
D2U7pcs+4fxWaDjcMHS2nN7ccl9hqbtAzLR8aVGFEWCu12Rnpsu4Xs2l435t2tzdJLRd2rXZlz3W
cZbZLJ8W6wHxzephUx0Hw6jZ86MeB3i2RFRiOXWsaSxvKb/27mmshlGY29rBrr08ECwaor6ZUPI/
5wSCJPRyLY25v40rvSwu6c5OQAJdDd0eoZVrxsnUzub42mH3UnsPMYG01QS01YM7TlXK6tcWOEld
INJGkiO2Hq6HXP8taUDLDiyho2eQ46UXpX6VkD45bNlesoB27c5t6uWO9J3S5SQ+pfyos2jrR5Jb
3eRb0NM/A/AXA5BQMAqc/338BVVZfv3cJ5+H/s8D8NuPfR9/rniHKgO8MLu7b83UP8afa5KIbdN0
JDyaVhh1vT/Gn2UwMhWd3UGNBWxesdm/SzYs/R0dAfq1tGtdodBuf6fN+g1U9e8SPRdhC0A3n2MC
bQ16u28GoG0sDglxybivykhsjDghgn4tZWD3/YfFyT551J6RpK09m8pZBllKEMU8L9klcuSaVqH3
6I0ea3XeZzfzkF+PRCuh9nSORtOaLA0a6sB0lAF5ojNrL9Ycyyz0TRPVnFe8Bm8Jx9ZAOoMMKNad
ziASPYbKklpethWNOxMUzTXPAS1IEbim3uibNOs+jLl8pNiCl66ujADV+Cec6PomL/jjGXLEoBrd
9lCP7QfBGQmZ62j6KXyabRG6T9qk36em+DRCNuJn6w95lbySNg+buHJRrTr09WKC0wyVEOTU5HTq
bfPBgYxBDCAix0nj61EYg+DN6NyMmntoW+8QlX2/DTtuDXshmBSF6a+osI1Mm30HdoFfeS2l6YZf
muPg960ses9X4Dbo3qHAaLYJW/7UyCgOxtrStnFodNQBjGrP3rzeVXmk4hxRzo+ZdZq8od+qn0wt
ItUSiRB/NbCnRAu3oM7Nfmv3Yj1FFaaeJR+3BH7yTJiTrmyr4eNPcDOGhg9kKjKGvqK67JQtlFPW
Rlbl61LijW/M1kChumTATVVssMyjz4R5Ce6DfESP02/NMkdjrEPvPIc5WSBQlNfIwLklu0e2ntl1
Qzk8qDWSiesVhySyXpMIAC462S7Kdu3x/JIkDbvMxWq6Dcc4fSMWk/4/OMZWl4+TB/PMyBT4TLdP
Y8KHilL2o6bWyp1Ih46UtGK+dJFCb8ean9Z7/qwu3WPSkbzWVGh03DFOwRI6M7eJF2vIC2Sctn3k
fX6dZWb6bAg9UEXJJ+CCPPuVv0NfPvuj0MoNRZIucMeKnym4S51g82S4MF/0ppNB27Ufzs8bMyYa
2JzXimAY8nJiXhlXsjeqiM/2KYbml7qIXhnkvNUOf9aLeTs9l1cFP0sSRA1xRnnM3zpe+gkyG8+f
Gjml9iw5kjRycC33cVl58lPDOHFdQCUToVU3QLTqQLrdB/J36sBxecLewMvkMRrPNwM8HlFCGn+0
zopPRFqSRK0DpcmpMW4txN1UhzqyD0sp7osO3bhRTxh3VFKP2df1bi0MFSlT6ZsCTMUGMROfIYo7
WimEa0NSF9dmA0eiUQnk9BPYxU7mdTJh3S+HiresVJCJCaEsqTv6xtSZCLwxzrfZEuVgorJXPR+T
0xjbRMOoFyQlflMXRJUh0PA2Q4Vwu+Lw7OsFj5uKMuCAWC/BUICJHYUahplXBednqxV8fS0EdjKG
agrhFShrgD8mBe3g/JafzYRV3cqLDjfVdilygn/NOIdXzut8fgHUG84QP5FeVl6YC9MYXuR+ayGV
xzXAo+uHyWQc8BrNmdFvR9gsL3Via3s75quuGtcqB6Ht6evh1reTT8mi0pxE9orZzPTZszGvaIzm
wuxpe5XkUestWUduos9He7axPaaftIh9huZOxNFnRrbNXUYEIeraHow51KHVFteLC4CYjQ5Ys4Jo
IK2TXJ2uBHNv8VJ2TA5iLX1oCRcyzmGuAGcg2578d6szHbV1Nzdty86rMbr2MDlU+tySA+qcFPpe
r+DcaiAdAhdt+JZQV2yMbiYvwsE4YdX0LlYBbajumUyIwxrJSeZrA81JgmkQjCIcKfvCYwYriOz7
NjcZEiXsedCOCRwD4sge+d3xnY3rcNPa1slY0gU2kUatq6/UsjPxMjUzwA0n4flVub6JG728xuU9
Hwc3e5WUgyj2MALO95q9ZgYIgl9JpK6k0eFkW2vu8WOgQKZ3YDeYE7Xw/9g7s+ZGkW0L/5WKfkch
BjE8nBNxrcEul8s1tvtUvxAqWy0Qk8QghH79+RKwS+ChhqyIS9y4vHVblUCSuXMPa639XlOP0cxM
KDHb7u6fncX/jorNnE2P2oOPPTHAnC/UNL21x8pkTpex9TTZWTcRdFj4AN57pSyurQRRL72015eV
TzgOTJ0s3cwsqvFcQ1wfxf2DYhazY3j8G5y74ADiEZhz6l4ZDbmO6eartkkOM2r+NH9HMPszTRPD
WUZlfPO2WmfFpV+O+YQ6uiAunH3VKOaU01EdSIASe6gguBTtSDVZizQ77OlnGSB9SoInJWFqeFt1
au52yuXWLZYKlbE72EC3hg+r4WytH4J/7J2uHE2sxPEIZ8c5lBc5IsQLJwoOzvYspXX4FOkO9vzG
2CuzNUfRTFNt961TkpJdhDpyFdcBXAbrNTJZWXSRV8dc+U+1hoPuFet9CDHd0Wk6kYYw/eET7/zr
yd7Uqvlai1265xa4D55lfj5xxb6L6ar9GsMkvWCaFgIKYFy7gUXoKNoR+cOCVoBVRd9A7x8/4HDR
Y/tzkULimeTsOsNnpb983y6WoL2vAcBaM+2xBbKre18HVkGFZlhxoQqRsQO8mDPdD+5i2lSSkQ/+
efluXRxBezfLVE3NACiDLHf3boROCsyxuLgIKxaI8AScwFXIwlF3ru/0/0HAd4IAgWg4+SaPANz/
Ey6/LiPUY1c1avP13b/+aP5JGwDYxggAD3BIE9a92gnAbXtk4MKDlkAxGCycwDfdB+ATAnBLtHAA
WMYSFjjne8z2eKRpBvBmUJu0k9B/MgBggZy6/6LMyVEGR0FDYkTvQ6w2sCA4AgzlwlEUYyPyqrS7
Yxt/Zzf216m4jUWTLVCd+lg0ceitU+TDCMv3ygVsJxWBxqia6cXYfkcfQbRHTub/iZ3f34HcyxEi
/wCkyWoAPOrei2+xwcLp7kWlJoTxZipEflT90jjSyHmL2uH3BM3BST6aRUt3TKA8ILZUnW4y3Vse
yJbtVCt1L5CmxRbDQc2vsD0I4yQKuImpjXLADT3KdGh+mER9NiH9yvmGBxaf7yaAqyd7SL/4eZQk
tiKp6iRC2gATjmLOwU/xnzPnHNV257xEo41sZKVB6DsI+SGVxvdB6ICOTPM/QXfFl86eSEFxI//a
rRBlQmVpEs90BPbO6SRLRnwNl22XZ9EHJK6OK4dawY0XGOkNkm9vx0Xlz+kiGk+LbUhPUE0P4Iph
7KbeRi8+aBlqOkf9mLyDAbf5UwOWgYCeGy449OMpcrt7GoHGJU6DS1OZ4047t/fj5CzdVeVc9Q4w
5cCtv7HUPLlOt3ZJXT7Ql1DiFHQIyt3smCrlxQ7VF/DvB8c1QaSipplR2bsyj9HhA6VnrzijxIbc
Zmobi3GmpV/8QEGyb4a0r4U2p9UoddKZWOh20rZ+s7Biy4kRmWGdT0HnjLeADaL4a5GCe6CCZf+F
No/20VmPHaR2xplzt7GzLZxmRwR6kVYlAahCn3Q3hRKACrbuISBE4wO0ZIzwHT6rjbtNY4Yrqygh
78ITv7GrY4gqho92phay9jbHNW2V/Q2Khrr60TtAfnNFZcMjMJrTdiL9ElnJfpEg2Lqw9yYwlUNi
RndpFHnnXuzdVulmO1tDn3qzduwCwuVx4kXzjMnxKBS/3QGS/svQNeWDHvvHq/HR5dwBhhpAwtyP
lVngb1xUgBLlk0EfyNcuSLiLfRnTDBIy8hXypcUdNdD8a6AKad4j3evjuZL7ziVTkM0817zdIfNc
qmV6TbWc2rIV3lH+LM8gab5xFRQdwKX86VBBY5EiIKAgpoNSUXSYZvj70wS59qlDB+cza5u/2Sip
QZidr6upObY3y4k9dvmx9bfuwrnzSGLDqTV3H90y1K5ML3s/OZQIddg26lnOnt2DzvP+LbUIbQ4I
dnWILGUxSeEjB1p8/Jof6JzJl518hdAevENGQpsFxzz/iGCBQq9L++Nu5/hzNAv/oxSpfq0dPWS7
q2N2rVjH47x0zPJTHDuoS6nOflFFxoe4jP6ydDfRLvzAhnB6ltMBu7qNIcKD9nAme7SWaCARUWG2
txoheLZBXHMdBZO5qQn6dhWiNnlFNbU6vKZFxrpCgGK9G9OvVlHWx5sgKwFsnYFCzEpqHUqym1GT
yzafjXRjr6FZoANr78vPVkUjKKfWBZnUGiGKK/RCJuAQqA3acXxe7o8miiII19lUHAJt8hpQJa6A
j8KQvcg2mY8cyTrKTUoTkM0+7gP6+y7QKd2jr7lLUTJJojQu369R9kXiZGvuMu+N4wI3AnXjlpMv
2tZDzexsjOPmzcsU0b6bTVEqk8XuQEr2zqoVVbzcy5VLSMZCaiVAHyranatOFnxBVCv45OzBT6QI
K4ubWYjzjfPwxnIrJZ26uuZWZ2Vhogh22OM3l8d9iRqiEP2eUBK/LDV3d6XSnutCiwBCnx2Cyq8o
ozmU/70EzzsDr0IFxTXdT1VVlLfoQuIXUdHdLoxA4FnCA/ctjJgKhwBsUyqJL/0DkJk8Ko4x7Bja
9Z0pNjW4nWFQc7L2lrog/5TMQlQe5hTz82mcjQlElYoeoYrrOn/XPcN3uRJ/OsJuQsIuVortbL8v
ow8H3diuDHomXPEgQuJKM8BcVE4E/dtch948rUro+uPQeRdOfHMZRjueTw/36oJeQxEYPtBz04Do
HgVnk3arTEaOZJedhjfEjof3iGqi7mIfo+TTOqIt7lmGG0EjbsR5CvZt+H/MC2zdWeGlzWt/7EOx
SquPq6wI8+y+TiH++j7x4/xz8ms/enmg1hP8jl9JYCLgsZ3scv1Q9RO/NEa4zP28uEN7yjBGpnAE
qeE4zfXHq5A8bftnSv1QeDQh+UQcIq7Gkz2ZpOem4eU3bObz5d+89AbfXGXksEQHIalZ0K3RRNUc
OCzGw1uezoJlj0xUcG28lObveG/ccEizABC3eaimO+DDAv2JtUBdTsS7+J+EH+LCBz2dBccZUZdH
gUCQaMTVlDYGNAtALEXLLqm1QHWEvCkOuMDUi4sBT2cBmizcFWiyVrtjBjcLOnpz/arvL9gFgkd4
bCL26by+NjJNuhYThTWLYHBbATaaI7sIdJiIBLUUvZs18GgrYDBEhZXWN80sUHgblkFgDz8q/f/s
ItDs0QTTT36B1ztdBLY2ElU/1FSHeiqwCB6x5n/29bEEAAsmOlyPZhX0tgKzgA2ADquhrVhfQ1sE
ADnMPsP3p2dBGzmUdw0s/5OzYE1G0Ffp5aciECAukinD2gqUzQX3Te5UsEaiNxlEq9bs9XYEZwWH
Jzniwa4FJkE0A5SaBR0/yABwgG5E863JKXbswniEbgKJrPG3s3NgawFQhOzhALSi6b4ncvPi6vlJ
ADYg5wF+spmegb0+CCBZgyDORqBgFs1Ful/fckY0CaR7t2k28zJAS0CxXnIPGPrItLF2GP7mLXun
Al8fLXuTaALggrgaV2xAXjKhghA1kbIExI0Ga8ngVZ+0BMIecgIbwPwa0zug9+eganfmr8dKAl6F
7BwU3KcjRkfHQaTTF5rN9SIQoMmBmQJqDbJRgo4HxKlCk8xmETi9U5HsAZhQbQwKeqCzgIaXdNhs
jAg4KEjdO0C9Q1FVOQ8oIoG4a+xiY4AHtSEsVfpQNEa09R6jBdI6w1iYU9eADuSsBY4NFsPgtgKN
H6VXAckRoWeDFk6z1HtOgdDJqVuKEk/VPxjcKgCILU50uWPBHBEuqdSW6bYtrt4sOMZIhdhGaPq/
tQhukyLORT4XYlFH1kgTCPUfefneCN9yqbqDzdeB4woY/OnaJ3FGOgnZvHFrJ4fnF46J53/s9Zd3
kY8mQaM5x3s+pJIJDqiIWvqkdwhYJmEyAQPNAppTojE1A7J/4CO05nz+dYeAj6+Dw2DZf/vGp2ug
PgUscAtCIW9grgA+moD9/Mjif/7rkxHj49OzqGf47cmIPvSYfcLj+hqcP4jKoCZt/icjm7wjJYTW
8GHfTj+/LQyjrsFOGWpUQK5IlTUBZMzIj6BUorfxf28WLHwAnEVtfJ8wG9xaAH0jnSURs4AbBB/p
W4WgsxaIk4X8Jpyl1m0emkGgH0abxvt1g0iECJpCdP5+2iHELpA/oTU4snn1NTyzqNeENimzqBIB
oXGGpmrPJyCxLAymKCg2EeLg/EGRJpA+FXTkZjn4WVCNP9hLltii2GaQVWXBDXMRwF60cWikFoEB
F1JH9M1Bxqy+erOgQqMkQFQ1WoMNzxTwXJLvj2eoi75T8DSb9+8dCw7lJCiiwiIOdBUAbh3/YHjw
vIdE5VQQ8tDrb96ylyewdUoMkPXYDg+rhGU3ID+55QVL7QWdxKFGjQA088Nbnh6OUMlpdEZxGaMw
tL2Apn3zTL9+KhImjDkOgCl8O/tPX59qGh40nE30d+prcOV14ndD9lhA6Fdg0gFWPx0smc5Io3Ip
pBSbWRicWVQdat+yZlHwcLGI1Ey6wQIN/SDlCox760AO7/VxWiTf3iQVRNdClRXw5KGgTrSRBnsB
H7GZ6AEZQmSWpfMFQlKfbsOkQ5vX72XKyBUhhk2Tb3Nwb8/OFFqzcscAxBUaCQgw2ZOv7+Ay2CTN
yKc9HJbDOgzpkaBJx8tgKwBMQN1p37KXO1HHZFVQuRaCss00DO1I1AxKoZJrgYoqKj6cekzp/Vue
nok4X8wCMUJ7+g7JEGCgZN9e1IsxgwQIT+4EixqbjttYt+oY1hYAFSwbGoG8JSlmQrdqT4G+GawD
aEvDX2wjxKHtANWZyG4AfGK8PWzdM2ZAxEeQ9CZsgmaJDM4pJHJ71Erip4FmQKzY46CLnoEU1GZA
pKrbMLKZ9gFZA3w5aZ+Q3Y5jrAHHbz51zzUkj4z7LbB4bRDZbMABTYImnl/eJpqaDe2gDYKEkT09
EQTGBq7rWFTV62twPpIoA0tOgqinjfEAVZEU6rw96STo2rTbaadncOEBkYuQIpLyEA2+MWZfB0vV
7IR+0sgZETyJXMpQjSJJfls6debQXcchS976f48QNibVNdxkxCiaWfqJtfADRuOB8DRFtemupjr5
q+wpRtRzP7in+Dz+e0vvEXR3UXvv/FAwn5p7N0Qf8d//7mTW6rzYyR/v82T1fdp/3r7g41t37nX/
Vvf/88Jfpcv01qvqP1TtY14vI+hSz1P1a6rYk4Sth13wnYGzYNmVABAh9rc3/Ncfnfc/2V0vjpvS
oybuDlxDnuQHDlB9WWb3j1irFtSukOzI02WITFYad7vYNb6m9NhJmKTLu47aYRPMy4/8kpKb5OqY
rcJluUxXp5PdJCNlH/seyPGd5oGSz79g1v277ips+Cmyz3++StJ1d6W0uXrZkS+Ycd8/nXG1qQfK
Dvz6bul1FqCKeAYOjPS4COHHid/dkU05W3ro+M5f9qxIc7hJj5yU3WXRYHNlh33z2DY1SSvpgRmg
uA2q+89Vm70GPiM79FVS+NmjaW7yzLJjv136ccd6tFl8+XFp0byM706nA7ivwJLJD51ly1uvyFZ5
3lnTWkPhkB7fv/X89bKLAWxwD/JDcxZkSd5Z2S28Un7sLEPDEcnxjm3SGjT37xg9KdL+0KICLD10
Euc9G9LW1mVHvl59Tekd053tJgKRH3q/7J5bkBoEVlh+4PLVxTLaZp7fPdYZX1BUfsf4l6s0W3Us
VYvx+h2Dv31WNVrSVxCS1F+SNLifgzo+aHiM0s+dpLn3arpME07K7nJpeFG/5wazZdDf+w0DUXb4
d57fcRxakqv0sEGIR9IVIGtJ1NJDp6t1H2ZdFwxkB36/iuMMvdllL0xoFQBkh//oJXerV6+zR2db
k9ySHf5TUjyzEFvQ1e+5weOF2FK/ZIf/zOyvsmzVcSlaGK382IduVKnz0L/B4v6ZL71Tm9KCvmUf
92aVRpxsnZEb/QXpkX0im97ybsVOZId+ubGzpAH/a5Xlr26eeviGgSz98H52m8SZ3/HcWi0c6bHp
EUjH687XbOq8L4/8VKbpAbr1OP90r37z1D/rJtfEL27D1TL9938BAAD//w==</cx:binary>
              </cx:geoCache>
            </cx:geography>
          </cx:layoutPr>
        </cx:series>
      </cx:plotAreaRegion>
    </cx:plotArea>
    <cx:legend pos="r"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1">
      <cx:tx>
        <cx:txData>
          <cx:v>Family Median Income</cx:v>
        </cx:txData>
      </cx:tx>
      <cx:txPr>
        <a:bodyPr spcFirstLastPara="1" vertOverflow="ellipsis" horzOverflow="overflow" wrap="square" lIns="0" tIns="0" rIns="0" bIns="0" anchor="ctr" anchorCtr="1"/>
        <a:lstStyle/>
        <a:p>
          <a:pPr algn="ctr" rtl="0">
            <a:defRPr sz="2400" b="1"/>
          </a:pPr>
          <a:r>
            <a:rPr lang="en-US" sz="2400" b="1" i="0" u="none" strike="noStrike" baseline="0">
              <a:solidFill>
                <a:sysClr val="windowText" lastClr="000000">
                  <a:lumMod val="65000"/>
                  <a:lumOff val="35000"/>
                </a:sysClr>
              </a:solidFill>
              <a:latin typeface="Aptos Narrow" panose="02110004020202020204"/>
            </a:rPr>
            <a:t>Family Median Income</a:t>
          </a:r>
        </a:p>
      </cx:txPr>
    </cx:title>
    <cx:plotArea>
      <cx:plotAreaRegion>
        <cx:series layoutId="regionMap" uniqueId="{7F8A1068-7636-4036-BB57-230F22EEAF14}">
          <cx:tx>
            <cx:txData>
              <cx:f>_xlchart.v5.2</cx:f>
              <cx:v>4 People</cx:v>
            </cx:txData>
          </cx:tx>
          <cx:dataLabels>
            <cx:visibility seriesName="0" categoryName="0" value="1"/>
          </cx:dataLabels>
          <cx:dataId val="0"/>
          <cx:layoutPr>
            <cx:geography cultureLanguage="en-US" cultureRegion="US" attribution="Powered by Bing">
              <cx:geoCache provider="{E9337A44-BEBE-4D9F-B70C-5C5E7DAFC167}">
                <cx:binary>7H1tc9s40u1fSeXzpQcgQIDY2tmqIalXW7Id23GSLyzFcUiQIEESfP/1txXbic3VbPzU+qlbqrra
VM0mUktNHqG7z+kG9M+7/h936n5XveszlZt/3PV/vo/ruvjHH3+Yu/g+25mTTN5V2ujv9cmdzv7Q
37/Lu/s/vlW7TubRHzbC9I+7eFfV9/37f/0T3i2612f6bldLnV8299Xw4d40qjb/4bmDT73bfctk
HkhTV/Kuxn++/6tKd7nZmffv7vNa1sP1UNz/+f7Fq96/+2P6Xv/2ue8UuFY338CW0BNXCBcR7Igf
D/f9O6Xz6PFpS9gnlAjsOI6Lfjycp8/e7jKwf41HP/zZfftW3RsDl/Tjv88tX/gPT3x4/+5ON3m9
v28R3MI/39/ksr7/9u6q3tX3cPHSaP/hBb7eX8TN1Y+r/uPlnf/XPyf/APdh8i/PwJnetN899W/Y
bKQx+z9FIZ9u0RvAY59wG7ncfURHiJfwuOKEOcxG1LYf4GFPn/0AzyudOozQC+MJSBu45UcI0nmq
drHOdk936Q0Qck4cl1DKnAcAEH6JkOAnDnIJQpw/LDBA8GHxPiD0Go8Ow/PLcoLN+elRYrPReb3L
3xAayk8QIQ4WnD5gQ15CgxGsHupgmxH6EpRXuHIYk5+GE0g210cJye29qd99lFUkc/mGwBAX7rvt
cBfbD2uCvwTGRScME04Ewj+Be75mXu3WYZAm5hOobj8eJVQX93luBtXu3hQpiqA8YBxh9xcSz8sD
zk9c4rqCc/SzfHiO1Gu9OgzUS+sJThd/HSVOZ7qRRr5pnCPoROzxcZ1JgBMY0MOubbuP6EzC3Kt8
OQzNM9MJLmfHicvqGxQGT1ngvy8LKD0hrkDcpvjnwni+cDCmULkJwqF0e/rUh4Lgt44cBuTRbALG
KjjKRbK9b3ff3jLhiBPiMEoFhkJs/8AvEw7GDNBwiHCchzgHzz8PY7/35zAoT3YTVLbHmWLmSlfy
LWGx3RNnf8ttMqU1wDpdTqi9L5z3Dwhsz/F4hSeHAflpOEFkfnaU6+RWmjudG5k/3Z43CVyMCOEQ
9pgzptCIE05sQE0chuZVLh0G55npBJ7b1VHCc33fv6lWg08oIy518WMxNoliAqIcAWw4fyyrQct5
vmp+685hWB7NJpBcfzpKSLa6quN3/q7SSr4l1yQgAxBI5wJDOn+e6Lk4wVCYuYyxh1A2UWhe79Bh
dKb2E5i2/lHCtMq/vXGNLE4EVGJcPEW1aVhjJ7aLXcTEo44zKZVf4dBhfH4aToBZbY8SmM1O5vdP
YeUNso1zQigDEYY8CpwTJYCJExszTBGnD2X0BJbfunMYlEezCSSb2VFCcgoxvrlLh7dDhYBmaUOW
p2zSDXAdWCXA9UHuPAjHa1w5jMgvywkop5+PEpS/KjnqN00w9MQWBKg8flwJk5WCMT7ZLyQB/YAf
iWZCYV7h0GFkfhpOgPnry1ECc6UbKACCXarr3dutGKD7lECccp5U/ik6CJ3YBAEBZZMI9lp/DoPz
0nqC0NVxkv9rUDKhU3j/hmkGqjOXQlGM3Mcu5qRIcxmkIWI7FImHIm2iybzKpcMIPTOdwHN9pBUA
NDl1U8m3WzzQDiCMQ4OZPvKaCTr7HjTnhBEHWtX7x6SE3vcpf+fRYXB+WU6w2ZwfZXA7j+Vbapjo
hELnn1DBH1bFRF52oTmNBKBiP2qcUFM/55u/8+YwJg9WEzzOl0eJx029i5/uyX9fLBPg9zbhEMIO
F8s/SgAOcr/NJivkd34cRuLBaoLEzfVRIvHxvsqgv/x2YEDGR9yx4X+TVcFtqMNsJpgLMtr+MZmY
eYUnh+H4aThB5ONxIrKRd7GMdm8rXbqccgF95Yc7/+/shRMEGsBeCdg/JqvkNR4dhuaX5QSbzeoo
V8vpW0+ZuaDnU5AlgTs+kZPnIpmACsCFJjN6JgM8zyS/9+cwLk92E1ROr44Sle3912pn0rekLXhP
9GHUgj+Kk9PKS5xAY3kvJx+e/nuNR4eR+WU5wWZ7nCLMX2r3dfemc2VQXAGft6ENc7j4YkBpYLzJ
Ro9i/6T4eoVDh5H5aTgB5q/jbJGtdPeWC8aGrA+zfpweHikTBKb9EGIYPT4/STG/8+YwJA9WEzxW
fx1lEIOv15uGMEZPMIUhPiiJH9bJJIRhxz6xuYBGsoBC7XlS+b0nh9F4spvg8ddxTl2uFDTCtDRP
9+a/pykwM4Zh7IU6zq+ZsOfJHmaWMXX3bP5pqPnpsx8HYF7h0WFkfl3LBJvVccYuX4MSdlfLu+Yt
iQvkfA7rBSZjHxYMnjQsIfEQF3Rme0JcXunNYWheGE/Q8Y+TwCx33U6+oQyGYRoZw6w/IpA0ni8Y
0GD2ZRqFEf+HrAKIPQ9kv3fkMCZPdhM4lsfJWR4a4W8u7PMTaHYR5OJHNg9l1gtsQNiHZhg0Zg5r
YK/16jBCL60nOG2DoywAPsSwZ+fdyqhd/u3pe/wGSQe6X7YLc0mPErGYcH8OUQ+D+r/vkP14TIqB
13p1GKeX1hOcPhzperrv3n3WVfqGGNknggib7knLjwdg8HwtcQcwBHET+mgPGE2K5+0rPDqMzy/L
CTbbz0exhu7+43a4h1zwsIZevPJ/uhdQAHkhDgcEXgIDg2UgzhBoz/wSnp8noMn2vL/35zA6E/MX
l3Ace//236/NfS/v3rD7AjszqQ3SDKaP2sxktWDETqBcgE0y7qQeeJ03h7F4bjtdK5ujWCsvvIY9
s1c/Gv7/CxN/5EQgIgCjx67lBB/YxOQKCuDgw2rz6/06jNTU/sV1w2X7R4nW/8JmMxhmgn1maA/G
wawDm9FAl3bpvr7ePya05zUeHUbol+UEm4/HKd3sY8P6vjL3wxvWBCAWQAiDefPDvX8O22Rg9zNs
sX8oCQR9+uwHseB1Ph3G57ntBKHt+ihXz+3OxHAiQa3fsqsGDAhjKAvcxw3M09EmG504sLnm5/jG
JBu9zqfDCD23nSB0e5xr6Ly6j94UHchCMFwOctrjROaUn/5AB5IQmcDye0cOQ/JkN4Hj/MNRLpiN
3M+ave0o4H6WTGA4NeOxZwY3/jnLESBY7+VokAxehrJX+XIYlGemE1w2xzlkdjtoOPkkerpBb6AP
APeEhr/N/uacE+hyQhTbdxLQo2r99NkPeeYVDh2G5qfhBJjb42CeL7yGanqzq4a3VW5g+k/sp82d
SeTiDKbLoHCDEvsh9UN9/Zx0vsaTw5D8snxxdXBxx6mo+Tslv+vqTTf+wxYAGIdlDEZlHqriSRQD
UgNqNYfhgacNzi/ReZ1Ph/F5bjtByD/OrB/cK2gWVPdP9+i/j2cwCwgb/jmznyZmpqvHAVnaZZTg
R0F0wmpe49FhdH5ZTrAJZsdZAuyM2d3Fjbmva/N2AFH7BJYHgXm0w1vOQZBmCOQ24kI9/TKuvdKf
w/BsXl7OBKPNca4fX8PW8923t1TXIOsIF1rUT6x/Gt8Q9Nwod2Hq/CU8r3HlMDK/LCeg+Mc5bL6n
z8tdVgDlfMvIRskJc6EHAIPlD5kHAHheP+87OTCvBorOr4GP5+vn1W4dRmliPoFqe5xz6It7DWc4
7Z6+yW+QfmDImcKQgPu01XwiCrgE2qYUoh96JEGTVfQKhw7D89NwAsziOAPb09mO786/v4P40GRf
3xQlCHIIghjen2/2Yg3ByWgYlhCcJvBQW09UtZ9u6de5dRirw+8yAS7w/99UDX9/EuTP4zKDXb2b
/Thn89lhkP/52R83Ak7/nJg+JviD6+4hdq2+/fkeCwey0M/jO/fv8aIymJ61+cvmfmfqP99b+9Mg
KWz/BCmIQjdcIOjjdXCEGzwFqgPDsCmB2ZTDWZ7OXkfN92chwBGgDNp+TMCAiUA2bIPjUCqafdME
niLwPYHjC4S7P9rAhQX/83zTC60GULJ+3o7Hv7/Lm+xCy7w2f76HjUHv3xUPr9v76kCnBP4Q5HAM
My3gKThR3O0+ANOHl+P/U8rSpoXd0JWjXNdvHKvdVnndLsYw7tcqKp3laOlk8HXXDd8cbfiZk9Iy
8kDf6j5o3SCvMYW1U1yhTepQsR3zkFyzJJGRxwqWB5GhfBur1nwYklZeZ8ZRi7Rp5SqLGP6ii9Cd
qYQna9dms3ow5dfWJMmyt9xKejLp+sozTTHeoSK1fBlGzPbDPrWvKiPTtchVfhpyohYNMR7p63yj
HVv6QoVZYCVZvMat6Va5zLLMzyxGAtuK+Dorm0J5oerPdeGqRaFccTaYqE08znr7srcaseUyRRs8
SLQZyGC1XqtJOQfupRZY29EnLKTYYiu9wD1rNqGNr0c06ACzsPHykgrLQ2VBvpNhiL0uG5jv4ja3
/Sqr6gsxYOrhhJMZoU5vvErJZuEoVHzrOvgQUpHUK2WlFnmj05uSJqz0ekWTRZH1yVKYug462mUB
4gP2a2w3t9qV4XndxN1lreV4J4Zu+JRXDbmMUndYkiGptowk/SWcWyp9ZNtyXoZOc4p6Vn7NSNMH
bR7xedGqdsFxCpcR9b1H01wt27yzvTKlzTdLEE9WzuATUZzaebSiodXPGqmQlyKdB8YJN1laZCvL
tVYq5WkQlXq8pW1VLsqydb5HItGeSWp5WjPaLWDKOlzZWZxd4JGP9lxYSbqOBxNaMzImzWlBh+Rj
NEjxmZcsmyWSFeuwYN1V0XbltQip3IyIoU1nUN96TUXkbVhTc5Y0SF1RTYtFBulSeF2p0dLpFU+8
VBFyOQ5cbqKIjvOBc6U8q3D5h1wWuPXyunQhgpL2jHUSXYgKvis6qlnoJyNVd03fF9uQMbUc+oac
srpQi6xg8nPjcvmpLGK8zaPCucxcNS77eOi3yGrJqd05elk1OjqvqTbXyUiE32dGrTKrWRV52IWe
yB13a5eF/TmH7cqbMqLpSmJVLJNE0czLUqPmHY2dc1V0p3bcUfg6ltXSQvWsiSPY8da4aPCGPsUz
uwj5riTdvVP22SoaitbLhsxZ6TKkc+4WbjDw3P5IaHo3dKSIfCui9mfu5te6JeNHY4phMaIcXeqY
sdzr49BaO5ZBsQeiN9rGLXaw31ms3JmwSi54lJbKg/kScSdDN17kLRhFo1Q3rkSZ3xKrmqE2zU6T
CEDsCJEr1igWuFRlV5yY+ivkw7by6hRfQw9lFdkdW+uuXOS5y/yR8Sz3pErSS4Kx+uCEasmGrl6z
cMxXNM10YIom9RoIlp9rLeSKO1k4HyQpA27q3gvzPvlQGETvx77UPkmT2B/jIfWSwkk/cWT1Nzwv
rMvCzrQPgHLkVXFqByXDxYVV9fNOsfK0rFo38YWYO3WSLULToQ0cwKgWpbpsw7D9ZIWdDlJG8GWC
IrLMYVeN8VWH2m2O2uqO1AN4QlHQoZ4vNO76WatwY81imPr8VPOhLLwCjUp6HR/0LB+H6Hw0Ol1Y
fT1Kbxgc7ldtz4TvWp32onCYNflojDfqpnEDIdqbaBxo4qlUFIGqohLCnJHKg+JmPNVWX26GPEQz
jK1PiZ1WrhdFI5lJJbgHEQD5osqZryx5m7odWilk0EyjpPTsJNVfFYvH01DH4tLJXLYyxukzb4ys
+lLWVhpwnvtOXpgdS3i/SJDjXiDDstovMoK2rauR74bZqDzbVWyWES0+Csga25HG8W3lUnmWje0X
MdZsCRlx9IfEtFsTUQlfpS45MwnL/XqwxFnW0OqiTsJyk6Cu/GiFUm1NmhUzjU00x0JHwWjHxcwx
JblNu8xeshqusgpdPY/7xL4fedRsOkcUO0rKfXJpRvopzpS8qW3cKo/JVMxJIqJFM8bpTA9R51s4
jC8wlhDEBXW8Nir7K9TArc9jZwyGoS5mprfdU5cKJwl6peNzwpMOvmi484VFnRKQbcbFEJFmkcu+
XqViLG5UEy4kLpJZOoTjRdoSOivaFhXeUKMx8Rsrp54T9XNW6naL28heCxylX7rSToPOZq7XYki3
Epb4qQntYsmx22svLSvxOWVMBlneoU8qrMIlRKZ4FdZ2MNjMuRibxLorKEfronateRZxc45lrlYO
tcI5o5G5VEPn3kSdG84xKtFV3EoEH8dDyx8Gi81JzKttNZRfczMOd2hsIPw3VT0aT/U0WvSkw8FI
XOLZxjp1cmS3tZdXsi+9RndOZnk4b5CEiCbRJXRkKsj9SRJdNw4UIl7SlGrwcyLqyzIq1VLHsKS9
vuBp6o2m6nKPh275XVRFumpVbHu076wzaWezwc2zi7bN02XtNJ+dyok8iLVl7LlN13xNa/bZkfEO
hc13rsbPru4/5HjMfGvsCvi8MltVOR9mVSmv7TIq1kXM+XVbpPbHNOnyOyJYf1uFYNjmzIKvuhzq
Kl0XEVxFsy5KU7b1QrG+HNkGSq08Yt5op8iZSVvXdMa0jM96OHw3aLq+cS/KuhzYJ8PC740ciLtU
bQfAWUNsF3OrHVs/1GjRDFD1LLK40BtZlJb+XEAAhdpLtAHuw3RepkOUrV0rrQLTJXYARV56iqMh
X8NBAfyzMzjlF8TDKLkI+1id8tjB1XUTj3G4UGOqxtzvTTdq40W1k3xz495YN04Z9s4Mx22Ye9qS
qV6VXJIgt9CwqITO5y0zt4ZHnVf1kQrQAEjWEb3tLbtbMllwf8jqZguv7OdCcSgnVbyWFT1rhO1G
HrK046URZBmLt9YSapGbfIzVLGY2X0MGsa5iS0ZnPVfYj3I8bNs4KrcVoLke686rY9ntaCqGdSWY
5RlqNQuc94OXN/tyi4x248FQQ3Uq5SoN5ylnQ9DqsF66ilA/LV25MHBkuD+E9DIbYxMkpRWtRhrV
qyYMw3WV2XJdo+iMYaV8xHFxFoesDoaIl18awpTv9s6wkGUr50ltxMyKUDirpNKzLqRF7+k4hUQW
FsZ3AOZlgwrbq5WdLRwUou+0CaGMLtJC9tKDbiT+xtycubcGNTk3dw3lZerchCWFisOXpZKZ8p6f
sf+i+r/TxVDJKH78gYOff/3Xtc7gz49D93/94/73EX79DXbOPvywwn98FbD+fRvOTF+0J3E/3+vX
8f575vTzrP8JFXv4KYa/4Wn/8cnXkTgbzhkBsePvWdyvY9t/Mb9Ho0caB1wNdHsMu8sJqGAg8ANN
eqRxsLBA92dwWgb8LIAN22ie0Tjg9AhOMuf7HwR4QeGg5wmUD5ifvbf7n1G4PSN9QeFgGxUXsOUQ
gwcwVODCnPVzCle1qZv3DJdrWlt9QKia13Fbz0lWu5dOnMd65YjIyr3axKMzSyvWWDfxftUr0PQg
AvRWVUA8yDIhw4XVWAQCxVCqUzcSMrmoWV59aX/ElJHl6xhH6rTeRxyxjz0lkjJb2/uIxPaxqW6T
/Cz5EbDyfexqH8LYgBdRB5EtGvdBLvsR8Nofwc9FceRVPyJi+yM6DvtAyfchM/kRPQlr89wXUeHK
XVtb8aemUiZb6kqn0bwwTcrOagfFdTS3VIao36BUxr2XddIl3VbF0JPhc7dUY7HVcGiJ8SDUVdzn
+ZDQcFkbRqp+lukSWdk6B4bsKq+0Q2E7QdrwLNy69hg2HbBFuJ+lJ4es6Uo/dATqgqZtOfZxHGJ0
13UK4uksjaXTASPKjTNWXp7oMPWzphqtwWNNTnIvd20r8/ta0FB5sTuWFAdOUtDRT1kb5YVfRYUd
89Rzk0aPybcxHAbjpH6dRYMTtJGW1IMjjttoYad9WG15Vlsr1OXVBUrc0BuFRbyupZWXmDhfxZbV
LiKnsK9SizXSIwaNUDzk3SVWnTNnohh2vEjSWaca5Q/pEAcS8ua8dbP0rLIkWWhDs5XWdbNI87as
vTLXzFOtalZu2/u8idN5luU6ICyOzh1b5H4bqz6AWiINaO0QL2GRXppRhJdV1mW3YW7VhZeGyvVG
qy3OVcJuUp1FlyQqzUUXt/xSFWn7Oc7cPogEhrhcxP0lfB/0fGi1/KhMH14oWw+3aVxYtt81DWRM
bodBhyXfCpGGH+OiJ8DAmHVu9WFfe6ayxLzlFTkLWagWVmLJMcC8SoePRek6UFYodgM1f35l9iTK
y8I46n0nKUnvy6ziva+HcVzlFRzz4YnaZLOmyetV14/VolNp9JEUmpyKkceFhwunu4ZpFDN4blGF
SdCklfqOO8qUR/jo9B5oOPkstfXoDbDj6wKOLeOrqnOuk5IHJmkoAT7V8zM8FFHkJXJUuRdWTXve
RJF9ivteL+FY5carkwGwbpSpLmPF8o+V6fNFG/Lia2fHtxhIi1+DprMGpKFAKiAHDqZwN+Og+suQ
mXid0766jjAZPzVkzLK56Hr7LtEVOrXGHOhyWRK+7lQv5jQp7ltRhkvsoHIW9+kICPLkSqRu8wmx
RN0O6ShvSVdLx3dKN70trVwEXQorjFl1tYBsas8E7+q5LNhppxPmZ65Ui6Qiw3kO9Hfd9UZ0Xj6k
SeGBrXWOEwlVnzMmsQf6mrzIw6Rf91bRV76OUgLf4ijxYsftlQdExATUKoeZ7prC78Iu3t+X2gOC
H/uRhfzCMd1aI5EHZHDsj5Rb5Ly2qhs5VldJYfFvvaNT20OiRanndCDI+XYxJte8SuhphobwDNW0
8FhiwoDLaCWo4Zuhq0pYGo25GpWrAqdC+o41UC4XUFhdkFCMX8tOV6WHLdV7IuuK0yiJ6E0UU8dn
pbIpSEPlEIyjiDYw1Nx8rh0ryLWK/DDNkD+mGI9+0lfrRhbRzpBY3qvObnzTlmd2E3Yzh3V9ELcN
+WTHoVwSi9uu14NSd2b3wPRpyjrj1bVtwYqjMdrisrfmlcYWsHnk6ss0Mab0ixqLmWp6vG3hXOPQ
U6FErRdnXdIv7bjuP+iOGtdPo45ctXXofgV2ZSmvkY1NfFd1YhaG8fABKIR7ptvc2TVOpU8FCysG
hAZDnGsQ6S8inIcFUPXYeHZH0QYObsXXA7bMlkeiGbyoIV0AU48KFD8gLTpzW+kVA3bPLGzrLfzS
TwpfUUf7NervSsh5H3DHhlVkhcaHN438KAnNykkLsahL2p9Z9V4JBMXjjurK+a4t+g0qafsM89bU
/lBmg6dEMiurBITFzEo3XR+7G0HS9CxGmiVeMt7FyC69EikNVKO/0ai6giIfGC2uYj8PsxBIJIvn
ErTVBZKjuCxxpWcWs2PiU9OZZWTFW5W20Zw2MgyqvMK3snToIokcNIf1fpeMufuhtE3nx6XS1xFU
nR6Oq2LdJWk2q6rQURtH48h3TN7CT52gaGl1/SA9lrF6AVOi+hK+uVmQI9FdyEFX30qo5JFnF1hB
2UPdjxEL6Ro8HAK7K3JfO4VTgFLgZBdZaDlzZQ96hfPa9oH298FgkDyzQPjyWJ7rRd30TUCbvv5s
V1UcKFfnQAbTL7XBX5OySP0R0uNZ22VR4zHTxRfULTMvB/Ei6LPY9gfSm++YtOmswUNzlSDmzFra
VTMduemcutoNSGWFV7LFZssQrxedAO1mMLI6b6OE4FkyggznUTtzfauKrVXXnFaSxqA5dF8rRNWX
su+aORDW9FvmcjwbQIf1IOx9iV11X6XSrECC4lDOp2lQOvD/QocLb4Dx2WUra7RCoLAFrcT23K4l
PhsLK7kTietA7IytRe3klkdNqC6TWpG1bRI5L+qkXDVQkMyAroolAaI55z1UXiDOOIvUjttTmWkF
66gvyqDGlgVMaaz9vtDtjHCT39VOBzIsVdeyibDfDDFbdi0pfelsRtoVy5xmqYcKYc81du5KVFyC
zgOlg8wTnybjAkK05Q3E+oQlHbw4ZnIu0xEqDIXYDMTYLS+qS47MQphyMXZZ46Es7QIU5x9cq07X
iR6jeV4VrldC/wGEjxyodByvzaiieUjVhmSW9UGYvgNW24glKLEgrpDs0krzC+Ad8bzOgPqN2sp9
poZL0TY4SGWqFqYudFCPRR7QSLueEzcYdBwyQhDm5Nyqe9uD2M6va2rL5ZiE2ocGzH0ZMmvmDEnm
yazJPFsWDiSyNIZ8QJrLDvZ53slsKGfcgq+fNkAd+za/ZFbrQjIeY691GuwjUTSrPqvEMskjy4vk
6K6zerhU0vlCQ37z/7nU3/9+3S9aRGA7IPCLv+dSk1/y+TfLR0IFv1LDoViCbboQG/ctLnjTR0IF
Z9gxKBRdCgMHcMzwD+b02BeDcwxg4y8MhsLgOzRKGYdu1lNfjO9neGFfFmfQYIU+qvif9MVgvOEl
qaIwZgKq2f70UPhdEPAS+nbPSVU00E7lSRSvTMabU+3mUMrmdmFOyZDRQNEamIRIxuwD4SCNZZHy
EBD7QCHcLdO4shJIig2fV7WoruCnYiyQz5X4KN1aLWJhRR6RjdCnunfKeQNyaer3aeysTDjyat4k
TTj6jkU7qDZdRznQi3FY0IohDRxoAi1By1/nLnTRvGqIKi/K3OgG50aEsBSq0Bcs+SS67iM2KmQe
Dc1wM9bt6MMlDXPZWiioadJcRp3GaxDdQd3sc9PN6tBSrT9aYfnBGUp5Bia4CCrE20WhrUsZFokJ
QErtlhUp9WbsBugPGIJux6pqTxOChuuwGMh8qEx8YQsDbSsx7q9c5amZ2RkIkxInag6UuM29uBuy
qyh2nLlN+sJPDDzNUYlPBZY3OgWpKHLrduPSYe62qvatEukganUbQXlA66u0SPhFqDG5DClBoL6w
iuK5Hhq4YuVaYyCaUHgubyn0RFrsMaC0AficBtB1oD7VAiKNxbkX9uS2SdNiCTLvGaeDvcBNfB65
Y1sH9gBhOuAtpDLqQNslV9FIz6BybEPP5Kz2XDbWXpjVS9Hl9Q01Q5J4hRzxzGrtCoL1QDKvMrkD
eDjNGWTLZZ2gzzIBetnAtczSsP4Y5gNai666Af5FfTGg/EvVJcMaxwWH5o0bB046zCJcO4FKouiD
oUAkg5ZrtXGTrNyqPM7gVqss5l6RaXYeNYZdpMQKAyvm7WfQge3LodTJzIlYfzaMxX1tkwiEs2Fk
s7CU0cXYJWbdC+VVCSM+cXF/plgKKQwamkGTW+ElJvWnyGgQ+2uermJWhdFpVyPVXvYi0uWuiiLz
BYT55rtMWnzJssKBnk9JrlJGk8By8ubMgWKT+XWbwS3riqzaNDb60vW02VqFbc3sDt3TPPvCu+7/
sndmTZbiVtf+RUSIGW4ZzpTzUEPWjaKGLoGEACGEkH79t07bbXen/ZXt+/emoqOrMjmHQdp7rWdt
Jl3LdFTnjSemGvqYPLghD3UjF1e8Fawzrz4wU803OrSZooOpvTRGnkhiUn6g2TQO9TBa+6VjfiIN
So8eQn2g9F4JvoSVx1Vu03yVbT/qjTxtkx9qQTpyO6syj+s9dPRpm6NHm4ZvXpdvZDHVguhhu+RE
zqcSYmdZJ3mnluOmcccQFmWfUlq8Mjr/RlCbu4rnw9wuyOic0mHbioduQAMxlkVfcwieJ4Y15xm/
gVVwwbp7rfqbIivteQ9HqXEzJ91eG6ZtdKdL7dmxoPvCarPMb7IPZvO8rC7HR9IHHhj6uJlxqhYl
5ju3xVujt2w/GFIeXRJ3ZyH8pp4iHxXyZGgo4SMZx29ETND493oeh2onU3qn05i2eTx1507SsFUz
RNcsR/kSztApk0W6tFr9zUjy4MQgJh1FMbCKZlFwSKnb0FI4exgT3ldsH8TnPY1dI7myN0WfH5Jx
ldVMXWiqQieiEgtPn/BeSNHOmdiqzHayLjaR1FxJdeEi9g3crfm4Jbqvt1CyO7ulFmeAe/+qBpKe
07VY7nayBh8tazoz3ED5YY0cNLz9HtVHuwexPPD5JnP754juWTMtOjrvnvo2xb+6GVIy3YVDrPoK
/gdAAzWpiDSpSeP8DDWmwEq1qKe4XOLXIi26OsvQVEFI72ztZu+ONKBTDthAiDfP0ZEne25v0iTk
FRaIL4Mo0KBuBmIUSs7lEIGwq3a/3Q+euZ+Q4tFjbXl+6FKWDFXez+a4U/09oZlqsrwrRdVlY9hM
ETFnKt1QTxNdbvvBfMHGkh3sOmyn0SvYxwOdAl+ts7Voq2W/fo9G7DYtQFh9m0gK6YOFLyzPCnSI
ktz0JIfMNBb8OOSBrDq/nCAMkAqAedGO+eTqcAy2U7SMKI8dFC5aiu6c2WRvEQwkML6hcGHHLg56
JtGtycPyZh/zvt2j4Zlm3tW5ZvnRzqUuoFz0V5vDTJVD4LOSM9ZeC7utwQAPdVZlKH3FYSI3ZI8f
l3Cqg2mPXJ3iEb3rZtbf92RH7znM2GW9KBvgHeHFrYoerFE3u5SqJX7XQFOWvWZyti0fhvl2jWNW
eZN058WX34pyhReeojkqmWmNsN+kTExLQhdCycF2g37uXCyanYwd4kbS4n4L6fOqx/g+ltEIG2lL
n2zSy8OCfpU5/myIDp5sxx93nNcLfJMIT+Nwz3LpDzukUGyNPZq8Ktt0dkjhXqEbL9lYpZtZ6yXZ
3YdEOFdZg/P6rEzPsovnqzN36MDY1EbYORdUwns8VyuJHeuqxE6OtNlYeNJ2tJz9i+xJGXy2Otpd
0yNP65s+1WjkNjHmvoKQNQxJm6/o/U4qZC9CTDlv/OZRymj0hvebCBfcVmkIuw423FSRcJG/uSnc
0wqupXqIpijompkv/lM8m/2TnMh+yVce3hg16qNygV3rTeZ7VodObBeSCYulfxhxDrZuPTlJfBtK
rJgF9Mevjhe8QT3HLxspTVwhgyKfC2/6iyRSN9DdWwxztwcHt+iHikyAfsKmj9oV6mALFQKNWflY
yRHLq1AxTpBwYj90hLGPiaNzk3O5VnAHNYoOGSenfvHJ1hCfmspOJrQVdjdvK8Ah8c0yG9m1a7TM
IQQJZ8oCuNFGDqnG3lYVroPlr3NopnDLuovT4YgeqNCbOZPOmZuhE8E5UAqqHtwdMAgEEbSHMA2y
tZ5Wr/qDSFXZTkXpl6aLTdYIpsibTnkXNjsn/KnoFvXMSw6JpsxcX0+A0Y66p/thwdCUkw87cC1K
7BupiFtyXeWLWz8NoAcbqsvwVvJCptWAi//Zx31yyHR6jFdqIFL7FXpKMdoYP9/TWk/xdmJ9YLcq
6DVr4z2Q94nLOLtWQGqoJdC1c9In5BOUHF6zmVDoZiZGjz67ZNxwu6yk7pd1/YzF27cxTtLNVIbf
kqs16/KUSGhnhioICwSwQ7mIrrWr4a5aTBrV65r5uU6yTj6MShdhnYnOtGva3UEsnaHqyPXWmjw9
Z10xXx3gIn3Sw2JEq9NxOCZjtrQlLtqlMPBam2FM3I8duMmXEjX3h8hl+Q1NOkAMvdvyW01QmjWU
hay8kySN68jln1cZ60+OClBpLE0OQ+BZHe0pOS+R80sN5ix7i+dks7WGbHvq8S5U7CVReTdw536L
AsrqVfXhV6yn/aW3AZQGlWSft01oV4tF5vQQqL4rGjj4EUxVuRzcuMbPJpziq06HxtXlohVJXx7L
XZo23bftxuebvQd6Zp91DvOQj3aveQolchJz99UpC+M8mqbkEPbTmlVzOC+tgqdeywkuYkxXBbWp
yw7RRvIf0Rjtt7Pu/X2h/PwyW/hZNdZz/nNaQ/1ajmT4zEIysAa9dnkB4EAvPbi9C5mpOuS4X2+I
YtlTDLe1tmSezpGH3Bv4FLZ9nsytG/MQtT9EhjSlpp7ytRNYmuV4sBladj4E43knqMXncrCv0zLE
hwAW/zor/tCzpas4l9s9x8uybrBIbA0eQDws+RahYMHKF4ulr7tAza2QPGtdEgLKEZtT1SQ1nvUl
4TdzjxoFPo9CAbUO3zuRpf4Elde2vTLZz22d7I9MQsir56Hc77Yo2uODXZLp8H/9/3/T/2MkwC+t
1H+MKv1n4/+3H/mDh72+3L7AKMIMECvevPEnHrbARGLYABivAtQzxJ+QBP7gYVMYqTBKkd+9vpsI
86T/2ffjLR6YX4SZ3lATEN4pw/+l77/Srn+iYUHpYEb49VMAu40IXqP7166fh3OU6DgJTmUQAKjq
ufMnA7H/9U+SyN+N+L9gt//mMPnVtcXRyPVlsH89jA/14gB6BPDFkvAV9pdrYhgHD9JuKMh+fayr
UPHuK0FIj/HmxrjMwSLj8v1ZyMC14LrcYnpy4VQ+kGzZ7jLs+JfEk/1xziS6/18fMA7faydlihdF
w+ImcMMxLuf6as8/H3IXOlVw1+ipd2gTK6qm9XZaDJtAlcgprYvSlh8JAvTRgRi2xU06YJU9ZpON
xqNKmanTbUtsZfaxP868X07ltAcg4cqFfBv3frlVpS6PirLyaP3SH2XmIujx+3hxSyifBjGUxyFY
1g8h3OsL+EKANVT299St/X3CeAofiI3d0Skizz3TrlUw9Z6iIPG/lXDcPnYiWT7mM7sjxvWtzYex
BjJMTj6KxR3GlmRF3XFok5E28qeP/fTgY8s/RKTn1UjocEhVN9ZhL7faTKM9kYlOjfIqOhYbuXZq
zoKz2SHEr7G+ycN1uoccC8ZlEPFXrNDBacisavwS2JNC7wsFfC8pKOIgmr7rQsrbzMv9qZx8B3FX
WdA1YOkOREfLWy+C0kJ/71AzqCp3lln9hrxv6vRtN878kI85bFpLcZ/XpJuAnZFYjt/Mks9v3LDi
Ey9F9FwyUnbYBnT5gxd65lVYLjmKL/gFogp4jzJlKwioniLuvolugGTej8nwAEmgmGv4v9NtDvjq
xpnRfizctcGm/dJEEXR0iNhMV0nP04cebXC39wRUN3fPnSqzVodkeZP5tB0mtHdQf7IgrfYpkz8W
KbsjiIbvbuFzw1Am3LCyMLBMfNrJVuPkdCMd7tQgQR7HUfAUj72/JZ4WutJ7KM7ZuJEAWjWnpAqm
4CXJ+vQMNjM5bXbUbex6cUs4Mz+YztZvInR8aD0D+NAGa19ecAoggdHsu1oHtDF2uR8HeGVAln7A
4kK7LJIbCpm7EoJ9KHXQ4yYFJQzGuIPdLfcamjo8mCgBdEn7rMrn9YYHCyzffWWuzkjBv+KtLPDx
g/xLTE3cdFPmWvQY6pnaIbrNOv2YwuELKwSBEtzaeHrQe2zYPJOo5eH22y5z9ONLsN6JaPTf1h39
HK5s+m3ehXjoyzFqhF/XZ5WuQT2ucJ9U2bcm9Z8DQNT3EQiNFiWRvg9y71tbgrgex9LULCy3A7TP
pxEufh7TKTr14EW3BAjY1rnvI/jJqDIltL0G4+QS4EuumCMOco9vKH6lSNssMk7UblCZvy0gRu7n
oSTMyRqgFyEVDQLmPwptgTdUe2S0RQ8XTKoxDqGA12ThBVsHoPN7sdnX3K1dC589v9Yz3SLqgIo+
rVJFrh59MY5HuwEg/rwHCSsOuRNRepYFcPGmHwKH5pXrXiUQT9fswIT17HkTKf5lPPcbu8/UYjoU
HstoH1kWMCCNc6Z0d1PSABhCpalN36K5MwuvyEgD1LvLXkYfubFw1dSONfJHvne4UN3arcFFwM03
y4uQdJTqGJZavAXpLF7KTfbHhVxF2Enm6Wkj6/Axpy5YahpHaHTQIcYXFIsTqUDQWFOlQVceUzS4
FxtRdQsgID1FMiCAeYXrIbn4MnyNugn2uFbX/50DenhxztjvWTTSohrDcT4kIo7P07DjuCYZHWCX
ITnPmoyXfoeju0pzRYIUpXjYCzvdqCSBVZwDeDmEmZ6AGfdjm87lWo+aFHsFfBE8JaXll33Bf6k1
GF+8JpRXsNDM3GwwCZ/2OJl/SxBju8UH6dlBRMl0M7tS+sZkbOjaxdnpXJChfBjSPvs6SJTUVTxs
4YHqHP6TRa6gFoXEZwuyGX+XBqv8GRXL8DEm6/44CJ75pvByemGy6+fq+poiqC6TyAye26H5vyrw
v6oCk/Kakf7/u0B/Hqr+eybqbz/wB02HCVNXYwWs3O/Rpr8bPyXe+I2tEyk4KEZwh64zD/8wfq5D
3LMQSxriALg/EhRufzd+4AnBqsGUUZIVeKHF9af+QAn/Xon9KhCFyvGv9RJgujjFi+PgScH7zPH2
3r8WLyBY1w1iVnEhSu43AdczOJZIPO9xCot53PzZ0jUBQDakwHMAcIv7OJbLGxpIPVc018FjyHJs
jN3stscEHflH4SOa3Kh+3793a88ZwhixojUdTRzUaocZa0IKigIhlY8uXe0TZF7kmRYnB3rpeDH8
2DaX3m7KFB+7feJL5YelkNWKidEOwMgu6zW2565M+vOWbkPLu1jBkB/LtK9GGWc/UIoPv0G4PbNh
8Pe83LdPKxa/Z0EDg2dvm+nPFQzQAwu2OzGYbqzc2PM3T2P1NaFs+7QzJdFH6+5nECM1UpUsVQoY
cI4Scitls7tYP3Iw63cwsCC0lEvifuawkZ+mkUN3yDfJ7rcgoucsmfOsYlABkHeY4uQ26rjgNeE+
LMGumO6rn9mI+ofqNt1o9xa6GDBWXMjiqHNIs5B2suHFhV33YFJzTidEa069HdiR+bK4pIDjjmTa
57gB1JS9SHgA/dGP3ZAjStFFcIoQmfJVJ8aQNSN8oB8uJHCgXAFxv0ZSzdxk5bLWERXqYqjgLddh
5q99OFISWNlvFr+BEuIOURe4zgWkFHDqB7rl5nnLJVpT100nERD9rQMTs9YlWN6pTnw2v6gB6ZUw
LwIUATtOTjkMKyJI4/AQ5jQnVcE8euXMTdhw03z7PBjgDJlJ1uIm7Ka8g1rrdqRJWF5e0IjTtWHg
dNpBj8vDiM2ohiCiXBVnQA8SAC3Q9Hq9XpBbibsq63b2WKzzT4CgzpzIVaZqgiKefloGPbCKrR9s
1Sd+/T4ucRacKC2Gj9Ts/LzFo2p96XiMyFK2fZ2hFT9mdtmaaR5ThLfiJa94rOIDugxIr3sf2ge/
asY/KiLovj35oOinoQ19sK7HPNz6Z+vy7lFGiMMNP3B1AQXVnVx6nNs9GbtAo25b3NTfE6SA6D3T
qmxkOEVVmKzbm01tdi4A0H1gBY5BtWr44F8SvbPWjuhZkIxD5O5ExxDF/0RBpeAJrTeELiEfJ+Kg
JVJJAY+XGtRMDZbfVvkISTEpk6nVZL7uYSE98E64KsjXqO13SPwLi2UziPAmWsvwbiIhdt0pecZr
Jk8I/KTgRxJaO7KQdiejA6igcN6vwTFZbZAom7FYcAcmoyL3QTq5rNHawHBbINL33K+XSC4wpbjL
z/Fe2luAeX1jlRRoi4xZUSJ4dZNpZS4RN/LZhWOCfNSUpceMj+tzUOon3+HBFBB9fBF/CAMsAwPY
mGKZkoZnGaqMnuvXwETD/WD3vNYjUhL9noYvSyKwahUSdlCpk7IC17cDRIsg21hW1FuUrNVmxGOc
jB/LBMIx81dBcYpPfGXPCIt1wGhDXlMFXpcDIUPRrofitPgMwKvIrmd7sq+Yv9E1ZHPlOZ8gJUZD
th2LiEfP2Wx0g+VJQPlZUiS5EtlmaXkFJhNt7tJSkFbtHAamTKFHD0nyOZdI3YC6h4E1g1/JzZq/
5jmSjbPNrsgd01hT8glrR9WnNEBeZZ9mPPnMPxCBpxcpWP7oN6yNgs3FafJJcjJByW9tGJR7yzQy
ODTypl5HhNmsTgGZ9ULdS+RXj/kiixuxRF+RW3KVYf122JF0qtJSra2ErSjwGI7dk4VU3FIfw5NE
jYOzHcUcD2oRlMBaeodNpIg3pF+QDtprxO3G2z7t9APXhf2xkTRoEWtBEmSNSEsKkDU8yc1h0YX8
rKaieAT5DMmU4fJ/BrYEl8kE96nYx4dwM33jBkZeozIafmqXrG95yJKXXO3jk1Ida12oyGGYE3O3
+bU4c5JoAQk3EC2CxAMW3a43L30STxcAdvHXWOOWjmNlkWZR410RzhpB3TR8QCgMAMOqDJ4q615Y
KJFRkkHY369bud4i6bndIvdLT6RLeb1xLZopKbBkDuwBpTA/9TToHwMA10UltiKvGdb8JuZrFFV0
7fyFDHN3kILL+z4a6Idu9EA8YTHrL66PrpxosPW3EbTYk0ZNjGRcuH9DFAV8Wjz713iLo3qmPF8q
vOhiheWq9AfFbHSLOIy99fYKFQwZ4bjfVPecZiZ8idgWHfyENtNZtaI1Q7fxaVazfox9tj92eoKy
gYVJnbCj7187xCBf4w6OW2WycG+tjUVNImDdHHflJV3Wp9U4zR/YEoeQ0YnK0GRXLrOhIJ9dwIbx
NO350n9K0oiOa71OmcFOJNARPvip2wBOxQbccQh30MXbLtuZ7P4HEAlY+MKN9bL0WII7jIwGFbLA
FWSwKY6WyFe77+rYC8ta3KT0jEs5wNMfh6d4dmuTjvnFsGBuVAb59f/q4/+qPkae6Zcy6e1ket1/
/efbqP82OOD3n/pDKS3woi8MhChR8v4tQfIPQgpplOsMCYT2iyyMr+8F+UehfB0PgKH7BMoiymik
Qv6plEb4hSV4A5TWmNTyvyql13kVf9YVQ2iKkBTxNtIcM/oQjLn+/Z8GB0Das2bqw+WcjjQvGs6D
8Jl0yt8B250Pk+LFWqUI1H7TQU5f4WcvZwfn7hIsPb3oJdpQQefh7USy8SgSZEMihBolZA0RvBYz
7EDA9GmPIOpaImLB94cQfeRvfInC271jw8ckwjI7gyKvGXAFbMUgJpoxyrdmUdjUQ0YWe1xl4E+T
QhloRrNjMOM/Wpp/o+K+U1ZxBvAeiihJf1dWMfXr+vd/OgMcBSMQnnk+70u4P6JeLY8MPmIdrev1
e+Fz//p472TV349XYkolXnSFzAoGjf/1eFGAMpUBVDrbYIFgxIZv1x0YQxFwDn59JNwk764tZmRF
KEOvgyYgyb/7Zh5LmNddNqDVUbqBN+yq0qXBsYhp/7JFQ3J0HafPvz7ov/l6mHcBtRj0H27T69Dn
v5xOAgpajsjFA6lGQhtqFAQMtGggpfZ0cf9Bpf53RwOKkUH/BmmYv1f6IRvafpR8OIfEpuJuXH73
7dG6PJihfP31NwvJv57P8przKvKYlDA/3l25XUDbkIL0Z9XtA8q9jmIJVgrx9WIJ0Yq4bn8wiwlv
rRbbyQ85csW9zvT//J0xv6nIMQIIDgroj3eXdYBWhvhSzM/KCNk1u3a6yRilr2U2Q1769Zf+13sI
+j/YzghoDPr16HpO/vR0LKoc4nXJ+HkOvX+aQFc0a4AneO5m0CQgvFG65SMSJP/huP96YVMwoGBV
wgxDxDPybl0SjFvAFDM/j1Ztc7XhatrYWLDEveH/27GudhEq+xIOFy4vXjD37lgJLPVw6zB2oA8V
a9QOhxd578XdMMxW+PDr83n9Xe98HIKp6TiVeB9Rkr4HUkE2ZMES4B7yziNkPdFcXoDGbWHz6+O8
0z9+/05pnEFmwSKD2zX663UzGQJFGdzlMyXphky75fhSiQMiTrc4femQ91urfcGgkcovM6ctkazD
ewp+tbK+u3eunwH9Ixa6EIhvRt7fO5sLBWISKz7DplmD0RwKlroP2B0FfYuRHEXa6Cx2/2E9//0U
vjvF15E7GdBivG6LXJOcf75lN5YBBKR5f+4KGn8CCikvSHe6+5nDK1rieUSYBnjSWFm3MyQJLHTp
s83G/QfkFbV8n6GEXAQd6YkRpAlpT/GH58HTr8/Ov/ucKS5MeX1vLlSq7N2jJcDpWQ8w70TiPPsG
ZTdZ6g1ZBFwi2EbZaQz4DLGDg25tg8mKO7JFDumzkdKzEVNyU66YvbIjIHlfBpnOD9nWTbzBjAeg
vr/+rP9618KyvZqcIZxVOLTvPioSVwClB9ufZUkg/QtW7AKKsV7bXx/n3VOPO6a4zg3E4hYV+PP9
3tgHeCk0xdALCJOTfyp7D7twBER8M+gkffn1sd4v578fDDhVhN3xOoepePelXKFTnewcyzle1tOw
goIxGmZTY46RQL+IoSrzbt1NaPb8LZAjxiJM6fofTmxI0uuT+NfbtYhjkl8n9eNCXydB/eV2HRbE
H/Fk0BN8tsWd8yHCYrqWQMbODMMDnoI4I99SBMPqvjdyqdzccYb/FkuB+BBJbzDyiF5KY9wj2jSk
57Xi81KrYTV9HQnp74ZOQ4DEiKhnP8T057abAVbe4O+gP8LtKtWSXbtJAdkCVty2ECy46ACj5xSx
3Jesm8lpBQYA2zFxpiFzH7wGufVPIE9igL1jtz3IhaxfB+rIN/hj9E4Hs/NVuY/0pyxgkFzglqCn
HqFQnrwOE/CueQdjJs6Xa40wiQQoooqSr11Jw++YhBV/wJCZGQOT6CYD2G00+Tlsa2Ibue5x1+qC
d3csxpOdpFhawmXrv5kOi/ekGUYUTUEBI1mibISdTApW2x7E4IF0WXK0CUExNOaADYvcRO2I/NZb
oexSPEP2wP2Gp5+Jg5hKHH6el+CpiED1VESb/M0nNG12EIB3+fVndTrhY7gUgz9UbzWkJ3hSr+UU
uzvsM8NHBYP44ffTSzO7ttHYkac5Vp24TB60y5mGDK5QRGR3J1gJmkj5js+Ad6+rFaJWNxjJgRUK
HHfwZQRLxGqQeyGphyEE0NDPOHcuLXpdL4R0r8neJ58M8MWgjhgZH2MR5VedAb/Hdn13h8E4rNGY
BfFtQczsmkZF7OBY+nLwFYCD9IWzOP5QjNsSVUGEcyvjqP82MBkdkIdLvvJUIS+IhwbRPtpL/5Ra
jLapV7Hsj2RT+0Pvkq1r8iTsvwzZiqXJh8PH8Mret/H1PpR2omC/oEPV4PLWvvF7iAIGfJA/jNuA
eymXq79j1iF2RdF6OYTdN/8k04AgRylR55gOk41qji+gK8mtBxWHG6wlupu/dpYRdN8F7l4MN9sf
F8w+m06mQ8eQpVPwmkEDxHVkQFJZMPALuOe29Bh+swPkfJiCQR1WDjQKEfepVZqmtQum5YlhYsWZ
FMt4Aws+QcZw6Jss0hgrFo/+YuBTnmCP0Fe25u2UGPFVZaO4czhaTZFSe5A+P4oe4JwC2oB8IY/f
igKP3ZxICNwOurGAQYwZRr6O0PPVIZL6h3KfZJ0s4yAAwyXRx7LfwF6N7sLD8tB1EGghsU8XuCAQ
wmDMVULaslISXwvA8lJ3QgyN21ZTRTqh1Zomb/C84zsm+4dlXzELZosxL8wVSY0NJwbo0H/IKGY7
IVwcAanG5Awj0npeR3sUJVKsAiAjVGuSNSVS7lVfds+6c9/KOfo6m0C3PJBx4zLomJHfonNAis8q
05hAssUzIul7gV3NzNEX8JwXTJYJqy3q7xF5s41IstdtozfTmLPP6xz5tkvcfukGiQU4udZIgBXu
sz6O7zCgRj2F/aAvwZYKJG6zW5Er+NNVInmuS3FdRJj+DVr1fAVlOKa40Q08Iwb38Es4JVMId5rl
twZj8kDnDYicVJuL/AeAyvFhtwMFz7hF5Q1UZ/WAQinpGgu/uBE5GT4ss2MfkHawL25KUT9M4K1Z
NW/e3YkcQ4qozEDIi7X4wWW/nHfMkjkDhZA4KKrou4WR5yK19jm3zmE6mjHtdf+5QhHz1tVItcpH
vea+zvGkDeckSFAKRGKi9eJQiwjYs6MYMw2+IO+xFI0WkirFjoDgbX6aOVofg/uvkSjzDqUnydHA
1wcjjrFYD5qsHzE0RzWh7bf7RHlwsWyYQPKuoB34IeURlN0Z4dyRi/SRmF2Dmzfs08qZvYkxXG7t
qb1wa8iKIVC2/IJJdJrCFo6uZD/WyfNYLt0FsiJGBka20Ce/SdyYHLUDWoQhwEyiJW+lWz6PExRO
IiH/w7Mufq4JHG/YXGH0Gsk0/7RbX/ojSXuw4hi1U9HJoB4bd3WakbG+3wOVPS0DeM14muY6WFV+
Qgddnso9jFbAlWb5bY6Kop2v6Ru1xne5RE65pIsdaiT6b5MU3IxgY340+VA+DVTRrqIxjdH88y6B
TLGEr0EP6z5ch/KCi1q+7CkMNmzCsHkA1Sffd0/0U74GUA2AUDcFIgcNSKiWQsDH/CfK0qPNA4Sk
oOy1tuiTD8Lp6RF5ixhjCUJ+plxFdziDfRODLlIbDY9bmuLGLsc7xO0A0sgyesT4pPSUqjy+LRHM
ARPt0xcKKqsBATEdB+Lnw+B18dWs+EpYaFSNQYk94tzrhNFYgqbFscPAwqEaLfBopin7OILQvwel
Nj2Ap0HZX8aYBDHrgI+tE8GUXPHp4TiAPX9LRQYRZ1LsBvJwMTUUodIzhni531a044DzrXlaEbko
qnguN10jV4o9PUEGqh6nLb1Hxz4fhcxzNADhdBlC9//YO5Mlt5Fty/5LzXENfTOoCQmSQUbfKNRM
YBEhBfrGHQ5H8/W1EJlZJYVUkuWbvje4aXZTKYJE4/Bzzt5rK54u1V2ORV0xcfTUddhP05mDICPa
5lF4VoNiOI4hbl2E++F5K6bkshia8OCmun4uGxHgjO0i8dFlcLn3/aJ8jbwabXQXoHM1hoZeUlGh
+eq7LzUfvZOidSvcqYtdbXHl6SezcwswIEZvHNNulbGElqm2yLy8GDnTcG4laLhNTFZc8RwFq/0y
GuDY8qFDQuFFTr9r0nTG9T60z4HV6NMyFUYcRrwDReaACPMYD7lhqW4sU/fPBXCKU/EXBihBTw0U
SLtviCD1FzCIUTp+CtNtpuw1M2axVXlfZTzYqqFMUsar8LPmcoL9cZWP3vDBSBP97Mo8/JwOAN82
iHqMKp7MJfR47TFqDmoEXHVzZvjufLJtQGi72tcfcfAzgitrwaQQbN2mEBgF8rG0tuyi0qsZcXWs
KkFXwxYJ09hqcvhWajpzm8K8dMe8Yl428s5o7RmlTzUMvs/uskW4ZhViOrOSdSIq627AlWi3LGfz
kt6HToELBGUTA17k0ubWoju0YkMiVp9+MR6g15n7qGy5brwUDo7ZqVO35MNLR21EhZFVcKtqzoIM
8y8J0mhIj2xxLrOgw88R2HI6800neQQH4TwZdme82v4wXiThnD54DRA2q+VjJ2R3OCtzvbGBGnxJ
OjdnO2lGW9HnH9gYJ5gmfZOJkrjznUewegzOF5bXpEq4qepHYGCo90PjLtAT0MGgWXCih3t3MfwN
mNV5y8yt3kxsTuIgyDLoaJjdQ2psuv0u5ugpfy4rGykhZAd/M2Sq5VWZnjE6trGNjt8g3EUHanl3
K6Qd7UsUFNuy9jGq1x7yQ2yPtTfsAfkAEAA8EwcJt7NZTNb57NVw7iyG7Xxw1g7hwZ5FuakxGh1c
lU/3AorB1h7C9LJo9KvRmZgJFmiMvtb2CdaXuYOvNoH3mquzyKQ9YE+awXMnh0OXKRPoGrM3anze
OmyETu7Qurs+ysW+HhWjXTUVF6U1HUofa4vDhmtLUe3HapyuR99ENeVO/pknRbY1a3zevYBsOKCi
s9kK3kxWb6KVLLp9qAgRkEa764x2OVh+3m5qEX2Rs4FVZ4Y1gvjcBldoHvFZ3KK3eMp9d9/Cq2Cf
El3htTvVhvg81sv1UCa4Yf0PQFsw4bQ0jJgVnftyeS1E+kgY2l2APLVjN71tiuopMvPxsGBj2wQq
ekYM228XmQ5gkSzvQ1vlcC9b+3mKLDZWRsoin9nHypcqjmzQD0N3PmUBEtfUf6l11G1sROspciYq
gnQcho+ISl8mKLl+Mdh7EVQ5nrNoTj+aXZ8uDHjC8uTKTiNpmBkAA+qxlp0W+adJT/0ZJOELT3ww
Qz08iBAbStbn94GTZmfBGJVbKfTwybAlFrlRqzNNDXMxDNI4k1OxPubYUT0nDz75OE0PeS38MO6z
UR5z4dMeHYu1nAiibDq0zEl3Zi5Ll4kbmj6lPUPus3q682w/+srgfjZORlfR0NmUuMHMg63t0TlX
Yd33AGYyjWQLBw6fZ4uyeEJf4o80LqxEHVMmntE+GMtObuhquoXawGpAfdanqBpK9kNngTMExpVi
6pvHPZRisTEimqZ+P1JyllG+lYOd4Bctk9c+8XkAOSojBnyaFCJ2SCEV22FLWZRy2w9xy/JCn2md
aaC/SD4jhTV2iSGoMVobN2u+TFeCd9xjKJL5ErgjVXIeGDs1C9+8Kgwv1zsVzZQdQ8CyNPaFs23w
F7LQ5ZP+Viz2eF34s3VhWuWyt1IQglk5Jp/T2qDJnSJLv7N6TzGElFQi6aLN57Ydfe8SnNda8kYK
KWfmdf1H0Wi2DpXhm4fOcuSRvT0fbfgNTNGWAh1BZLrsAyugvhp99cWvajvOJds/OA/djSehTSGO
ODZdWmwXXvlHu+x5kfZOcnIyj6ZAT5Ef4sg5f5vUvB1Pd66xm7FZHxPfYWZTQgs2A7f+9PafRGFt
3+H/8u8xmUWHwMOXgVi6e+prRQ02SZsuAUSu63Fh22NQbDLrWRofhhAnM5cZlrNMif1bo7gDOoQ7
BzoI8CREAXXemZs8R/cIhTg51dlYnjBeNwe/9vqPba74AXnBJ7KOLLc9jZcbL6+sT/VgctWb0uQ7
Q5I+Sq+ZbsqJ/e5iZKi5y2G5nDowntsJYfwRb0/y0HmUfUIDL9tikxEHtmrU9sNQBTLWZTKW2Kvo
itC8ZDEYLKoTU0aMs7UnwA6acJQyXG/GBUDS7onmX34wy4KOYricRxID6saqIkVLRjDY3jT4k/eq
HEf3ohLKvPKs0Ttvi4UJ2eLRvEoWaB3rfWfkeOqwQ69wZASilayW2wx4GWXSZKzfL0PCZTR011AT
ucttNaznpAKNhQxvueVaTVc4bThtNCm3rtUtlzY6UPBetOJ6cLKXwZyg2KnGMG5hSAMD5Q5Qrsln
R3r9QEBd96kdGbso02HcVS39/AA/LM5P8xM4kGVfNq48Bs36p63ibFn+qj3GIDBfaj4INIuMvFiM
hvkpszxc4aUqo0Pec99nBttrK6DPGr81niyUYq+L5dJUKribnIUPLSajfaKV2EDxbmwNtXWyLiJr
TE46S9qnJMPPMCcZj46R8Qi7zsBsclQJ1GirfSrhAR8jgSd4M/d6FW3LKrHuKA74hY2NMhlRFVwp
aLVjc4ia3L6gbpEfFU4QeKVmVZ5Q8i+Xum/tu7FUBTstvrjdl9nXeqm7J/iSHHoaen2q1JwcFS3X
GtwRvFCAvtvUpCOnBH8vknl5zuL7PHi93mZWTumhupeGuFSUYgkqNy2Tk6m4OkolPOwTs9JkmCM6
Fg1sI6nVLkUVfunQAr/sap18liO8T2jJi3VepbZ13Th+cvIqh2+uqHy8uGE5PJhwDfsNY9EQigR3
wdjRmvM65OT4n12NrhbXGqDbgbskWMzn1Cw6xC2h0W6ZxfJMg1FK4pbqFG8562PkcqZSPzUeFgqC
1wCle70qr7kHpTlz53kdBrPUBpMUOhhpjABaMWgPyr7Qz/S30KdO3lJgTJ/6Np++TCsteNOzIZe0
Urt0l7Gt4M3YFaice91cZaMaHnJzDL922k1e83aKTtrLKthRI28mNx/FfvaCGXkiSq7jSiz7XPie
1wCAQ2IFVZAGd1x1eTv/1X7+O5Hg71nwXzrS7+GW37Mu/1uiNXFwrd3v/zvb+Skg4Rwf2PBSzv/k
nLzpHP76S//oHKz/MMcAdMewzvNtGvv/cGDIPmdxolfBtDL0GCD8P5VD9B8LxgtzN9MhP8EyGWL9
LQcmOgGtceTADXItNor/Tg5svZ9fMAZChMEUHP6sb9nvJ1E8YpkMlyQ9UVaqbOs4VnA7WrxcHXgf
sGCRYfKaLmByHTsk8jiMcfzeIQtQZzKo9cERljiYKucV+N1p/PuG+8FCZr8f1DF/8HC8hSaLk2uZ
79v/U88zX9oguQPtde014EPzOlwoYjaFkXjlxhra+9yiGbTLMTSr1Il4NVBs1+gYk6/4IyzelF4o
5K6bgzr4CPqKci4TWLrdrLc+11mm8N1WuuN1iQcnjCt6PeY1CQ5hb8Sur4zwbCyTJXbNslG0Y6vR
LanzMAXLD9msU3qqBr1WquhK3IXMvOcYgRREFOr96BQy8N5RFFIxy4ht6pDJYReNoXPDXnL4ELVw
HEYpasASlQ1ogo0naQVYyu/cxGkL9JSMH7dwIVHIhqU3WXud2Fl1Uk5blWBuZuD+xeBgWFnbcLRg
QV4lj1OSGgeQi/Ik0sI6DIPTv+RmJq+j2gNbWfRAlNtT1/r9QwCw+8aKpvkQ9IM6xxqtARBqA6/9
IpCSRYV/JVxnvmjSbG/kRUlHFbvvHe23z6ZT9KvZum3j1T8OfyJhJGcO3nhpMGW4XYYyAp9J3sGO
ttp0kQbLPV646lrCKoESETXBph99K92jh3GfZV/z4uhA502eh6hscMzcvzPDsrvTvBC3EAvqG08D
oNSISa3yErVh73woVtPtZBn59bKIHfpTSonVmjubmHSbzMGuuxp3q9XC2725eS3pwxdEWbwDAWmd
TU7CVAGo6MZZsAJPJs0S5MHjlnm3f8tZF1BLSslQBhsxKEkcUkgugMSuLuNkNRx3Cutxu5qQxZsf
uRwMVNCrSdlZ7cqOxricBliY3dXMTDJHvkEbpLbVrOXOfnM9c97dPaALvNDgk7OncjVIO1TwW1A0
aOFX+zSQovEqQvp97o39sKtWm7UrgEsrWJYUjbnDD8KOna3G7OHNog3HjFv6zbk9ohyct7BY/U8e
H7I1psrYJGGESzsarSc7JTagfvOBizS5FHXmxuE0yTP3zTCuEBZ/7t9s5EmQWUdb+4WM29GZCRtQ
gGYPuqWfsgkA4IQbW9SBvUUkClQQkdYcVylQIYqWxHggDWTdohsVWxVERedR57XebuI8HnWwSCYX
VpVdpEhXqR5Hzh5QabBOepWo62xfwc7Ffxgm7ktNQohPcsIoH2CcNxcR3ABO3yLKS88rkj0c/mRr
hxgUN1EWrjaoyk30ASmsU8W2isbboDFz7xCUrX8slfwQZePyHOhl2iVj7x5BTNEF8rHuMJ432itW
wvEzNrBQbrrQn81NTS9khcLJMtqmYzPONL1l8AWtWDTEnqDSRIdvhRq+RudCvUGEualxneAz1Cqr
L2bc5TaqI62Pbeq3DPxZROptQe127aHElxvN1uK6r9zx1peaJiUSfz3hW+ira9po3WG0w6zAYqBb
mJe91em4Q4p85bMcnNdZRNzCkFT1Y6IacZcPjmp3U2U7l4kYxYUhGFvHgSPM6zws2ocAEEYVW0Pu
xmbLn/vco8CArDk7gdOQlxBXs5vcHssPXW010GIUCPN5qGOAJIhpocNGG68vy5cixRiFxD5v2Kg7
0r/p87kyPnUOjejthBXvznbo+u4CVBVclE76cu+adfRNLo44zbU1fk7DrNpSUes7S2lxxgwgpp1k
gAEb2uzMtAuAEUpk7nkWacyeo5b3ngNKeJNYfna7KnY+tpjO7oJ5qq2zHurJjeu6HVKZWZUVo6Ss
/wJppKk3LkYx7yBXD2TiM59iJCGsjWdN+pIKXhNFQbmSQSIMywonjMrA7a6ZEJ7uOVyVKv3K+h7d
RUY20sPw+y++EXGINDKXCwhkzh4+VnGUpT3txOiJHWvDdGSInnzSpbb4Bzcd6zwPOW41RpbkzAAT
XTJjG5lgWUAlCDi5qRch6Z3tbJ21gsGOphGZq1ZioNHg+2+X7cwIM0CuEvLp4PAjtRXsaDa8FA4c
5zFk2FGKyXnMLdUdEU8EN5GT0bNw6hdb9ExTIq90rqHPXhBAwZLjVRfpHCYvU98eowBmoe8Z4Ges
mo6u2XS7jmbx1ey1wcFtDRoYyzLZ1w0POsjXPByvPIZBW9se7LjOZlyTkn/koWl8KcZS3EqIaOeu
J2hA913WfGbuoF+0U/Uwm4BjS+APh3Vf8lwZZfvCXQrjwiXWhqWjCHS4m7Mku+hbrYmtCAHiOyFQ
0I1HdoOztfolcHfDbMxuPEJLXHFtRt7G0zKYj36hVLMTviifXUW0y26OGmfV36fglYveYDSvKlVP
tCiD8anpCbo5dGWuje2g8ezmfVY+4ujicmVP+Of1tWG65d1s+vewqgFEFHVa7xxXMqqiQ+tc9jnd
iY3Fxus6oXokqCJrv8ww+/dqMOq4VSbXKzGLueVhKZovjidqPjPXX22rKXf4X9z1JSrry1D01kXP
csZT1M/wJpkl6g37LgqIKlRotVGOlE/4zj73huXTIEHeuh2LqDuBzTYCvC+hgQNmniCfDBU1IMoZ
Ud+NmamuWgSQtxAN8vuJ5q8T+72FxUVWgK+Gvr9Lo5GXNQlflxlj/Rixh22TSoFBPo6mvu+3gIMg
f3u1m+6iKtMxQQDBC3RdAZhI0MOTixGdAhd+KhtMz5a7umgjxPmLcjdylMsxLPyg3UTtAOuc5oIL
Yq4abMDtDG42QVHoC4EDuoOq5tDQkY3re0xnC/nRLujA3WrHrZnp8dK/5akFgGNyDyS7qK38ky4k
bwI3zxtxVsIVnFB8JVnCq9Vl/9VWTng/TZYbtyIwsGxjejoPZclCm0VOdwhbvyouJXrNCcFEUF8V
tCAeaUWLO8sZgy8igTLV+qlUG/igxotrJcYpbAOBz7+X+NaMtKaxnFkLrwyBsoN2Y2fd2EQbEG7R
5REsu6B7BV3i5tvKpI3bhUVlrlMiEiCcwTfjaWB8Qp82nG38WW+b7P8p6x7m7tv//l8/5P79UKFZ
poPa6P9f1u0Jf82/Pv3i7/xT1Zn/4SMQLIJxcG2krzAg/qnrAiCeuDvRTa6VmxNQ8v3D+bDgfFho
2hy+wOq+pBz7u66z3f8wifFJvKNrTGh85P0bm+cqjfpBOuWvJk/E6x5lnWOuAvrvlX7puM69unY4
Yw1mskZwEgFxrp1FF+7g0CQJPNlc4BnOm/it3fXdufpV7fbj0T18H6i1UO6jVKPkfV+5CYFRkZ0U
sOPB1js0uf7OwtdCMlden/0XDgUjFHwKwlGaNT/+UOkAY7Rq1GeuBSejsrFmghvsdszMRPzvD8Wp
jN7AqcRcv1MXY7kpgUW5JOFMU04SEJIBqQCbqikYjr8/1LvS9+0Erlm0Li0rhPfvxdsT8pSy8jiB
9MuiVYdxS9qd/zppP07hxG+xfBmb1bu+7UzGaL8/+LuWwN8HX1M9uIthcr37nYpItMTpMDEy8/ZX
GEG2ayxXXPz+KO8EjRzFo/VgoxnHY0Ai9buj9AAHei2S4SAJloQkajfw7L1JBHpXdHVT/+FHvVPc
vh0O4g7YGyTGpv9eyewJbbPhIeUhnXkjY6n7hkHgNUzbmn51fY6+odv8/gf+fBp5DeI889yQTs1P
ItYkI1oJ6+lwKEyPLiBCFy5W1P7VmKPxRqTnLx619TR996C//S5SVgiWRie5atF+vP+pj9goiHI4
ODQENo5hXKRGfz3T6aHlDz7t97/pV2fx+6O9u2jgjlKRetUA5QXwQ4JEGvUB7d21NdBGEWy6snz+
/SHtFabz/heGGIE8eMgRN+S7pWwGgRUyP1AHC5HitYtq4TGlO3v024UMIqIS4kEwfp5DhJ1u/9VX
ZnjqPOdsSGV70EOkd8Nkj+wzgu5lmhzjiBYr2thU4/fYbzcViNKtVYrlDwvT+87aemUcXEyr3SNk
eP3+jgv7lPAZxWOUjwM8UHdlO2xgWeidYSCuytnJb7uwHbEBlh020cn9wrZluhmssLsKGHyDqUsh
7oVO+odnwfvFrbkqlhFPO7bH/9Y//866UESwb9niq8MEYcROMo/ZGQNqEfrMSkTaf5hyB8f66EdV
3BKldZqaQl70Sa3RUE2KsFCzIXBhnXDOzP8dq0tohkDYbOwUb8BgyyvbX4zjUpIbKPSa50mvHL+x
jB6HMTcelQ6hODu52ErXCPYOckrkcMxrh3Y6IZvsN6MB9FYRQ0MyqHeeueWHAeXUVenOzDecpdxL
B/fnaKhret7LmaBltZndCtsQ0oQLCIbmR4Mx8KFoiFVNvPm1nJ07FapyE7HvP1N+pq755Gb/+7v1
5wck9IB02Tz16OzZcv94ZidEtrTA1osO8xb5ImqP0DwyHn0YFjpNMHytf/1IckSPxdrDLreuNz8e
EXmNBsFYqoNE/G717q6y0peocS+k05AKFvmffv8Lf163w5VTBsECRQBbn3fa8D6NdMO1UYdirphd
gLE6prSCdqEt5/j3h/r5NsVaQ/MXf3GEa9p/d5umA/6MUbe8BUPN1NAQFur3IfjDCfzlUVx/pZQB
w+Ac/ngCazMxasXA62D40oSRG0TG2SDS8Ob3P8b6eR1bjUK0fNgtWgFvvx+PU+YGbV+QsQfKjTYm
1LHY+1OdUmyBNoZhHrCl4MY3kTGcZPhR2umhdcv8T8uSw2F+XE7XZj+1GY4F2PTuu+snkH0tuQ76
gwuNYzfSLt0nY6H2Ltk24dZxF5e0jInej9l+q9oxuGMUOBKxZOrLelkg9SC7/MMVsH/5nYIA9EkI
3857v+NIXcMwkszpD006NEdTervIpM1PQ1NcJT3GgywYus+Vx6NcCWO+HrocwzK1bxyFRDMFTfWt
omlzhRAU6ev4hRRIeyty1d3PDf3WTuVoBdNsPDVzdUWo7J82F7/+AW8UOrb0PP/rtf9uQU0sGcEx
Hzmp5MSk0Kj2w+imHzJWsW0ngNImPSqMOvAVbyxZn+ZseQrz4AEnUnREQJdsJ7yWzAPb6BYBfPsQ
AmpbvKQ5OWEW7ccunYG0IKfDMl7tZS66P7wS3ls+eFtxW3z3C97dncCW+cLt3B9mo0gx9UTNSaHk
jYsVpp9LFvnBh/ldmEenZfTZo9H+w13wBp756c7EbGLipLEtUH4/nsRwZi2ZvaE/FEamCNKBuPbM
tuqGxkHDMML82jLk/xjYVvbSy60adLotWjuLSweci077vW3CbZK+G9CDssYaERxhSRkHPExesSaL
pNa3ubEslsoAtRB9S7NoY1p2Hym65ZmlPfMCt391trTtU6DNe3/mQKlrDdtujHrvD+f8561bSJwD
A0B2CAzy1oL0+5vGQ6BTJgULgiBfqkkOgS6q2FhIIm4Xz/nDPvEXyzY+M4/K08VB9JN/qK/oqUsW
nQPsmdcoJ0nNscgDd5nE/OFIa8X17jJypBD7Fu7hAKvijz8LaOHQBYnHnSTTh5JG0ke4JWQk1TPV
hDeXTK1Mhm2nxEc3//s19hdvX/yKth84WLdNNt4/HlqlOHmSglyYIZg/JyqEXS3uTCbpGE6fKXn9
+PfHe9t7/vRbPbI8LJuCG1/vjweMtNFPeI/6A2V4czc47HvmBLU/nfqto5dvZkJaZU5cXDp3bG5A
QiBDTmVsslv5/Vf55c3k+S5vFgf/6/vXcj4gTcs0z+8Ytio2OxBELl1SRnQt0siseP394X7x0vRN
do5hhEfMpMj/8Yf7UQHwbpi4yLOcDmlnJdsF9eIfasRfnl+LTgZ3EqcXLNaPh4FLlLaW2/UHamSI
InrKYt0U0dZPyGAfe2zwqXaHGHVwRUZpyvgEj/1u0sY5Dog/rZE/F+XQCKgKKcqBE3jvn9dxhiGY
9SVfRisI5WmQ7nu5EEiwql9qy9h26FcO2TrWacvB/MNj9R46uq7QrItI2EBA4ep+f68BIUxspzHl
Ybbc7LkLJNDIUabqus8tr96MfovumA4qAzZjjlDGaCLYvBiNC9PEmt5juR2NebzUmZMmG1spMoW8
1Ou//v7O+MVCs1pr8daaAfucN2/nd6/CDArS7DW+OPikN2K7WPQOsB7AvQTYwb8+VMT6GUSk65kh
Z+fHuyMvrL4TMkDCtiT1K4Pq4JYZGRIfdIP/hZ/FHtSDTLC21H5a1bqmW1QXuuIAn1/eIs7wiWIJ
kvNCqqff/6pfLGIcibYIW0RM7O/rRtI406IdOBKxIMyYVdPd16mAWWn2y8acapfk5+xf0gLWm4tA
PJ9WC8MIxi3vnucUV5yKMk8cZtvSW5QCYLIKNJXStP9k0se9yXV5t2qy0zBXe28QIih5t2qGpdsO
6YJuxHeliVkBfSJcr8wdMZKAjwQjhIww9tmTV1vh6NHYUzkO026ZAqe+xYnJw5UzUIyOJP9Uj3ZH
VjbZc2Q1IturfDRhicie2tEzLksQqv0+zaoVFtmsOecNP8nZBj5ooTgiccPaj7hP5/M36iTQj2DB
qyYZrKZlZj34g71YpCEh1N8XVj35OweVgk3aDezbb35BswSfExVMxsBaOkTg4T7NPvRVa83HqlmJ
91lu1e7OMDvrVC/TBPN/KHV/5dXNEF66QHOSW+YtVbPn/xsj6nHZlxPMyqhs4qbUbnoZBs2arc2Q
s9gPGKDuNTJgckMboz2zZEmi4ZxKWzLozh/rHkc3Kj23LY5BOqYdWShtW+7nEhLTru7mRl4UGC38
fOtH3UiiWY9iOp60N6Ns0XNintdGn5j0HerOjruagF0m0WFoPwV9Qr8kSKA4LaHbynvwJUZwaFVf
zDdjEuj7Jnel2s0GGTN3JvmGAHlQyQxHNrHTXoQTEDmX8HBMaV26LFsk0tGhWadzuypZ23+mYeNU
E4yaPhTEBW6nqm6dbe9m6PyLrvPO6nC4pc+7H1AEfUw6u/pUGaF5pxofS0JNnKOxznIdEQG5mPcM
wveI0Js7ZvIb7cKDKheAy7ZLVlwZlfU+HfTJ0fNIFmb/VBDks2FuSR5QAVO9dpyvrmOM0Knmnu8g
gwO6axNMf+4f3GhpN+yYifZoovS8d7vpOVBijF2CZzZNoJ8W4cM6dSbGuyR4I9Z9JEl55xu+uPGi
Wu4siKhEGGHlIC7eOg/rKrt0yNg9UC0AX80R8iyOd/AM6xZdMMIbBnfHJHLBUBXlwKaiD7YVbwn4
asEqf52OQsEvyxcybPKlvC7pLk2jK0/lNNnxYpaIWxQcsSJLEEIGoOFGMGU5V/YmCd272simnTWG
2X5ZEE/PhhrixJ7tw8LW9S5Jq+5LE/bmRZMFYUw6iY+xRslX3xBYN5Tu4pCGNQLK1jvKKlogzSXT
EQ2PfeyJRdnRpDjZ1rTPvc4iN2JGTzuIT02Otdtz7/Nh/uRNSbMbcd9u5JB8qgHSMu8v6/Coh4Bc
dkMkMZj+hzIKkQ4nDkbTNQHHRDDMdRDYdItoiRF0dXe5NPSNSHEt98PEe9HpL5CrBptqWiBsG823
XhBBGDoqP8v7uj5ryOF8dXsMoXMOgLaMS3ITyXgZWtEsDqW5bco02bV5pCCZhxmgRG6ej7UNEDkO
cKCVvExZJIAqj5+JxiqvxMhdVsxYPMPSOqJ6mpm1qnYPdAbnlmoRYvBA7JK/kNXhXwBrCL8rznqG
pAnceult+dmwnD2sZpyUhs13PgQrHHsKFiycDq6ZAa+bDHBItFYQXhiGj/a2DEIMNmiLPONEe9bs
adKK/ExKztRGlQ0JYQgbHjK6+jd2VdgPSd2U+XEsEMJ5mFeuLFQl+zbX6BImQTMuy3vz2TcT9pP0
d1etlFmdd7xkX1Qfpv6umlNyqkYvdy6mqffvXSTkrxHNfRjnjV9TfCfajJc5nD4gq65fJYoPPER1
b31pwIHFlGjeNczm7jPk5hEbRj8fFDuWh3B2i8+aESg3YzXtWmWLE4GMFQBIBum2S9oFXTjGIAWw
x73SA3dC5kTiU5aG4kV0EBBLDJGfAkESYyETVUEcVOjmZrP/6LVipj5sxzH2E69W8bD0PBwMvD1i
slyYBz4T5oIN13EQ+GkDWsg7qlJSjkrqpvqsRsNbMX5PNWjGMV12oZdbpDWmIzQCUE0i2taMBmFJ
4tblHjTGUxoV2T2GdobOgcTz0nM6jccGPNawDboyys5Te+Grkhb1qO1pGC8h16TIcwSKdcTVl60K
wws3c/lUEM4HF4XcvVa2t6zJGwLhO8DQYsTfR+vO3tE484Cx8ajuGqiK+2WYyv3YTnirgyBIrwkR
0sG28zLvmodI8FBxdWnCi1NZR+41Zq3uWepU3roLps8+53yjAJwPy4zeC69PfgbWez43uDVvO092
z3giG+yN/oIQqRRFfuDM5mfeVPOxBoYFS7ri1FlFdLHovntWcyc/6YzzugSBeCECliDhBY0k8eRN
nZxSuhGHIVL91wgu4bW7CGPc6DZKr6fcA3w8+nhavi6F4+L+7TDdkDHljJgULyxeyzBtI1gQBtIv
sYGEXzSsUEPSE4FlWg+dNQNm99rkQ0eqNx74of3ip34ZK1KrsGAZS4INO2QT6Q2OvUtViDRJmkmc
GoM+lzU/HtDT9CGEQ/KlSddk4o6/3ZlGej1EApZqFnrswJG8M7FwsCzLcg3TRXZWFjGkOqATxJrn
EGdI5UnTsVJxsXTtsEEF2NHGavqPM37J15Ao369BSpxyksygnCSmUjSYWTcwc7G9+7zO9KNLeHmw
HVu+JIlf5V2oZPfkEMJ2b0SLqDZdM2bXs1831ga/k/xUiWW6Cf1+eDS7qbzL18ttyyS88PAl3QlX
c6DSmPcglghPZZORXbs9Zw2yxHxjpsb8ai5tfjAmF+E5Tfvkzq4L9yiIX73wnZFPbJfyji379IEk
y/4rDC/XOBFj0Gc7AznQawApvEHxj6thQ7+lJ0feN8DG+0YLgB+zKXSK3PCTOzej5NqAzRTzsdYa
uGc2cCctBvK6mAYSdxprVnYNFbu1trVFKjUyGpq4aGO51mYfZvroO4RbbqNevbahQc2kzbrYinoU
rziqrEc37cZYj731zdfFMGx59MQtq8WCtGulhYAUxwsrC2/4ZofD4nHNAu79ruO0+LzJ+4OJV1Ru
fLa8D5hpyZVVJqtZ4IOq70JxqxL0UoOwO1iRc/d5QmB1a6kwvSYHLT+oCM9A3ofOkXUskju4A86x
MVL1USBZMW+lEfas8UQge8d2bjl5oRNcUhMn+25IJIsYmDz6pgoXlkic8AumZ3WV1F160BUBaq5f
c2l4bV448E+BqwdpfuO7fbfvGrfHuE/Qo1yyV5W2/Ku+67o40Z3zjOTM26OQWSANzG2MYItkRO34
B4vztWGi6eJukTyHyqnnu//D3pkt122kXfZV6gXgQCbmiI6+ODgz51nkDYIyJSAxJ2bg6XuBkv+2
9VeVo+7rRq6ySRE8mL5h77VFgcuXIgRPoZ1Gz6iZoScY1UMX2FeDxyNxMk1FL9M027EP0mvN/Mfs
kRunRd3wYzP3xhwLcZ14wOKJsGK9birjanKN+qacnejBjSRCtIk8YR668FJEybJRY0o8Oao7DzOW
MMW9eWXGWP3K2CvPcVLOG0p9SsCA9R8j1PfASbAweeV0n1WD9THk9lkrU/BIwwm7WK3ela6o4Xza
F9OU2i/U2yaavKn6Gozrnqnq9gmT5ZMmFY9tGfi+45BW8wvMivjeLNEAelN9dKtcb4PRwOyvdHX0
x+Wd+V/xit178Xjn8CGRwxHzoKfDCb15Juw5zbL2BFCZ1PfIMG+ywq73bd87FwVw4q2dy+KO/+Ex
lEdE22vMtdYYxPd9yw/pnci77QERbRhMzxuaUvs9UIH77LZdflTKeyaNCy/sECfUgZRym4IcbTC5
Y3KlfAY34KJPkbWIr4kZjfvBN8xDJwWUeUSj2/GTMoPhdTNmjArjGX0UxYX9ktrOoXSmClxBygO4
SulOY1cT/oQS9/uQ9fJlqm1xHRTBgmqhsB/rZErDiRp2RSqsv1oLA8XxvLt54CyhqZwIaaIu3DRd
E+/iaaq/LayaIJvGpJrolMtAkU+qNsZUIt2q6xlLfZG2BE+nDWj+hDRWYr57z6WgJwTlPZ2n7Iw2
99gBL4XTbxuX1ZxOd4spXzqFgZZbca+shcg1dmwUZF5/XdhO9JRnFWWGPewzHoHknUJkuffNZtlm
heVftLPi6WUmu8TJyXm0GucGUmtVhckYEL1Z5stpnquBFBrQAdRoRsYNR0xLHU/pTZ5auDt1ugBy
aRrwvJucrBHckNU4QGLo0i+FtN2DIxjAM1ojhJeoK0YavTKm2wBc+eXMMJuuzhtUhq4yzUhWVea9
Q1hGk3rTMUJbPvhtdpVzli/acpXu2RVZFSx4gB203SVzX6ASQGmB5wRfAnam9DnvTVX2YZE4S6gh
nkN1LZOVhdKJLxO44lMlva9icb9FTaXfqFjzt7wtKh5arfEEKd7YW0Mf7zqkonezS8UC0kKw9Ca+
OoyRHNaUQ9NxkMWgzoZVjUSSe2brHb1M4DBEz1fdGDC64005e9UN4xuMUtJPSdTpc5DJXKNO+lYU
aXkntV/cuYo58kYR4ntIMU195K0kOKdNkw8dgX4IpcFfqFEBAKZNqwc4Mf74paHi4bwpmpwC9iNv
CcO1Tnnt80YJpvqVtyWzsyUXEjY5A8lTFSn5SH1MZwpO0D7HGWikAkv+R9u3DBFaBNDfM3uNtmiX
Lnoz21SQFNPwpq8Atdy2QBreZNbQhNuRMoKwXqL2A+gTGUhyGQJvt2RO+QBynQdDm0xjtffQFFd7
O4CpDBUy4fJIsKiDdC/z6iFBo+xQY1bRG24ivieop7whFDDIYDQgZyd/1ULjvB1gf1e7lMQBf1ui
0kI3i6O+2KTKLtsLtTgk7ZKEMQjyb2qoJHuKV/7mxfAn7A8j48dtYgezcTDmtQQgN5lfiWYquEwT
gAxbtykoWsle5iwZC6+6MJ/66G1oBiz+ca+CFeDukFvRo3Ld9NqaxXYkqeDtx4fpDEbcbyzWkyok
QgNlmicAV8OGd6sDxqc4tLTbZpg+1qGAJezywUE/Vh5yPLDPq7JA0WBmU3ascSoFN1Kv5pjOWZyL
GW7fgzOiqOAUsm8lBYj4X+5jh3lIU+NUvWhRMQwHMABechUMSLgHwki5laRTQ4IyRPKYzYM8lBCE
Xwr0tHeZh88urEkQfRyTup2PE2P46Mbu+aWPcjA5RqpyjlqB1KHLm6cS3exYgQrinHDvMvtP5i1z
GT7Fwej4+gU2zIeieyGZFY3uJY7N9hvc8jQ/BH2jWWAEhUox1io5IQvl/tmMnM7lWDL/O4+qNUwQ
6B0VnZPYoCAx9zJEadit4FrQChoz9xQNNy9h3l8hNmEYHaXfI6uSy7TkN8kASEWvJWTulbBhcrSB
TyI15Q7bhnlmJ90cR1CadwVAu0u0TOp5WZLxacSB8mMN9l8N6t9oUBF7rsKbf61Bva6aLvnH9p0T
yQgZn6Hq5tVe+PMb/8gacX9j8eSiRGVF4nFSWVv8FKIKc+UoQ8dg8ed7/IOp7h95IwFCVHQV/Gd2
RWxwmJ3/FKLazm+f8lTG6igimGL8Z4Fz3l/XJrYfePan0IjFrAOM9te1CWbGunUnDxY5G7t4QRkT
zx02W4mHZm6vjM4OwBx78IMG3wFxQAG8vBpg80VIFO6xHWrjMuLYyaPklR2T8438cWmvKkI0GLn2
ZxB1HjVSQGInSd4PUIfqsCpj4wJBg9iwqKZN9uvpKSUlt9z0VWocRK1x47SpDt0Wlhp/n9hLrVWJ
FzyyDqlGMs5xIwJ34mO2EuJIQDmz8WQQp6O7cdE3OCPwzwiTEqQWR93WFlnpPgUdmnNho4fCALcl
9umjx/POSLHGmDg0iNetcr6KSBPfkS7O3NX8PTEYWeu8hcWQpmI/m8tyYEDBuzCWB6N0yhdcQumu
xYiwXQi8zafmBngOM+U4694b2Vl72DYEQjrkelqFy88vVqbRrO1tV/rBcW573DBQJYiXAI/HdAVv
dDVHFMU1ualdiikv4HHQZgsGNSV4FgasD83aQpHgWNtYrasm1n303xDGMuVdJSKINsIq7vGpjOx2
vAOQviNQsgw0DPyZOcDjbFuxuZWRecA7yK4pmZ8dWqBw6NZfos462m0m5vncx2HjGMyS/P5r0QZb
a5qKc820/qJuEHpYuGcQReBAzGuShnUJNME1CDzwvI123GMQBedurszQzzBDqCUynmcLToqFG3HX
VjUQpn6a9pSEGESHYj4B4UkfvbReTi0Gra3nYasmPI1sARwg23Yy7S3JMiyrfciWPVNhjTZpB+jk
raakvaB5Oc1lxKOUacm2bxskx4SzJBbSJOwOmowHY5el+rFq3Wd/Wi5TSREWD3BZjFKZjH6X5ODV
xftCTZMytj2kBF/j1cCTYQapcdYy+AZBBwDZgLWda+IxJ9jdHbkkmO4RipdW+z7OZmCGEalzKznJ
F9jk2pyM6845aZmKt5nXX4iSDkJV9nWZybYmNLTepWRvHJ2SVemylP6G8hosBqTHrRfX9jFZSI1G
wzKFZs6/o6/9YrRdAeRtirYuUfJE7c6ke/mcQSxfZPKm2A0jK31qpBtflWZS7C3/axy05nmKgW45
NaCs3BZFG0K9tqGdKXXPC9jHHwNXKM2S+YALonk0y8nfCi/I7hditJlqL1ct8+q9n2bjKlF098As
ii2aYm9XToI2UBrmrYJeQzx2VuwEvX7YY5zcJp2F9c5L3ZNgqhGq2CfqW8anzhnkBS9O1sUyqZ/W
dcq+h4O7lZiKYPgE49YZC01vW6mQGGPzaSY3DyAuVUQxAEnpkpowdJhCNMxZ+ZAZ1nwb1b15Fl07
UpcRPqJYsZIM7BJ1uJ26wsVpg43HmoHHcaj9pWeUFl9oXJaoAg6Edl0bdvZVMdkIMZZggtQeDZ2P
Bddb+DzrpXWOXkLvwi7wO2U0NArqijNgPUnUc/dg+urUl4N79hdPbUgVuUfIrJmjW9UuCfCTLmPu
bm17gkyng9/7Lr9XFKaR6G9zkGAAZ5Q4zMr4VtjLvM+bBa6md6lGvr71yJdjNUchUZbUpUDfGHaQ
FgGyeIPRyiemRr3rKoa15y8PUCOmI/wNhs+ZZ2xGnxRwlrbzanFljVhqLqnYba5m6e37Qr4HGj6j
D/KReO0WdJtEhVt4wWrc2pjcapCp9LcBsu7GW+bomjLeOpi5EGf8kdk+zfEVkDjXbih311lf4R8T
y7ypcvnmuu1lGtvpqXWmZzRZ9NyKzOp8ttwTu5byMQiGlxzm3bauvW9uMo7hEKkupKd5lKK/8Oyu
ua59GFAotTb0dflVzvSbzfttnkTlNrII3420/t40PVF7ARBJZ+mrg20jSEVpmmL16/LLGWsqGjtQ
tIB7Cc+hyWwtAp1nP3ic7flYsR28WKAf7WEXw9f0yQtGBEaMz7I86sFWt0xFLlPBS2gyIgIXaS6B
2sTIv3oHlkzhPNQr5Nwltfli1u2J+SkWx4GJeNzhncoTXi8JbKPXPJu+jFHfH73Z+6hwZGyIF0j2
vezGw1ROxh5LgRNi5g9uunxgwkcKk8ZswYGPVzW4z7BzJA1cdA+4pdqNrtpPQF3RFwC9E4nx0gek
Z2pj+rBUjXEZAtrJH5aGZw2QqDmK3CPPX3XG5YyQkEHfDiuaE/YNqTU+jtSDYtO1j73R2su8tsLJ
rsUh9tKXcVDOiabkce7aizbDl4iD/7tl1N45L3PyqME2skp0xR4jor8TdmHiqaJhqbCfbhaeqvvG
bSrsjzPpNF9zqtruyVYwRzKuWbaU5XFiToM3cuo0SuznDqaux61I95EyhubqK/ybyGmCsd54iczW
m6xKQfJYRy1ZkggG966MnsCvQyTBvzkTWxPvnLbi6c0ic6G5ou6WkXNP8e+5zWs1TCV66sYaWi9A
vgZR3yG4KVcGe4ES/27T/ECN/7e8/vvyepXg/l15HTLYyNVfc0oosNdv/Vlge85vNjQvz8aCgMCa
Wvt/Cmzf/o0UCVwPqFBWdZJFFf2H04uyHLUv8gL44PhAXL7rZ4FNhAlfKlDI0cuaSACs/8Tp5X3m
RvxJTgGY05bQO1anFUhGy1vlFn9S3HjZpAuon+lx6nwaRRFkiccCMWYdLYeGmCf2s2Ty+iYUghNL
3dg+lbIM/NBdACOFciQHa28tU5HtKqeK9dFAvTBysw1lAdwPXe5HoRz/EvYQCZpErV/T2tqnzl7h
ULNM9WteMy0ZlEDlNxKSjld6HQWT0+lfBgz5XzHS1q81VM1mRzbSurwpoWSKBKx12QziuggKg9RY
pAEwACvp1wdJd97s2sxYv8WKGBFkqZpvpe5wECBrltSuK7qJJeR0H09O8FwoMd03KRu7KCtotK2a
9eJNLIGknyunqfyzG3jtB4w2yqmy4EUlktIIBaZltc64YStBduzDrA/4NerAbtwNZUNzRLkpHk1b
OO+enKbbqjL6o4WI6mkZmRyVVtUc4UkwqHNZal7HckVB114cPacuYUwhXQWvKS9gUnaog6X9SBu1
DmrsSj4CtKxfrUibJOxaDV9mIw2/IEHaeZ9jvg96HgdA/8DRjjk/zbRi+ZhGCQjk3nJZRbvBxG9t
Z/xMP7PQSDPqjeCJOMuw6SkDrl1bFRds7ZNrKzPSSx+cKlYYNV2lkRrQ8gbZqVTEz208Y/08EW2l
8aaYCsPdcl3zb36cUKypWUMjEAXPsl/PMHn2pGubS9t+Icxvni7HOmLKM2UyLbYmclN1Z7AnwxYE
pp8t8JDwp9+uszz8Q3wuY2pwjMlkMAgdZ5sXgmewmzjornAGepQiMV8aAH00NwUZuRs20t8TmioC
mYcyeOb1eg/02NmjtXRZNpBF8LzINr3zBgLuWPZr9HiikI+lzQW45tRy1TKpZimMZ2pPWC1/0xJJ
/vTIJFMcCRdRx07/FkQf/9/rBq4G2bSc2cDqPGtHQox1osPtbQoC1B7MpVsuPlrVhJ0JNeXGG+vu
w2N6F+/MrmadMWpuQi+YOMH0IbyZfCLb3E2W1gCrETJmCocGdJIdy1quN8FteVnV2C6OXhpZJyMd
GDMStcFxq6VXy6YgavAeXRiaH2KKuWIo5dqPabL5kSUvnZg8EK6TeZ1n9uspQudgnWBk1q++WGeW
nTbVgbDsYOcxuDyAn6D7Bpf22hB18fx5CSPq4fPN2uqiWm/2dL1II3eY7okZ4SMZZTzfToznb4tF
Vhc2u9Vsj/8peLagp3FLVrVlhTWhfM2298zqIme7xxWw3hI9bKoDw1s+vDnpOdloTMkWUfqVVM3m
qJ16rWh6VzzaYDCfjdTEBl0z163AstKz5I3HzelWc7BbgHsc8sQhom9UBb+OqeyTaomi2Whz5qvQ
fXOBGRY3OaEzfD5RQxb9IDt+a3PhCYKwwzp5SRVcjlXOVhqeLOssJssxJ0ukC5N5v/HZJ+Dkv031
EHtg/dqZ5ylDxzUQwTtCMjT3tEoBNMoJdf6YgKkgjJff15oaiDwLM2JCnLkpkFwSwTNsQHxP94Ws
xuR+bqf6Kk77YPc5ycabz2Yq4PHsY1oKdrBQ+Hs+F3gZoXHbtOORYZqReOycuucTLOzpvv7ku4GG
0K+ZGeljAD7yAGZAPnpsw6/dLB+jPZyQhhI9CBz7OPU8Iq2FX5i4bK4oI2BCvUX5IB4ZnS/1Oa48
diFWiSLpXETs8VOTfVxvU/6Ew8hZyhUbplZJHs2s27mmEBBxgc8AC/Fztbnzbo7QR8IJqf2j7mfx
mDrzSAIzU2Py1WFcZHvRdsGuKrlKR/jI7qZwtbhWVSAei0JwPOwF0dwMtErciSKvZiLV0TKsHW/7
EWesn1XicHWvS1ea8+C5UY5IL+y6b4698FAVfl7ztrT5JpN62AqlXq9/tkPiuldD8Ow4wuP3NNfH
Hm5G3d0NSD2mPXmiPN+atmOJkVjr9RjMLdMV7QfPBhmyDPc/H2mIkxVwGG/kUoK42fQnYuQ1tlzK
XJBTwhC3NtGxuxzzdRr2Ix+vlU/7zzsO4qv9DGBrEjBRnCbZfz5ZqyoR7mFEs/AsACqUzyNA5ezF
GS2eE+BrOFAxjCg/ks55D3JSrNNeF3ci6WXox+VHmUzBqanr9WWg8d6utG2ewKQYiOtxcXiQ5dQP
fehXfk1mdJKUIrmRczIfefxYxbgVcU8JwS6qZJ2OvzK4IK8KiqP0ogkeRKuC/G5J82+pqXLPD/PO
gJpdZM2x7JyCU1QScrvJ+olnLfdkwxKhZA5jjFB7GOk37kdVFs9VLJpzEE29CQnVHyfqEKt5xFF+
wsnHpwvzMX9ErFhf8I7xbwX4xYh7d7D2jbYYlAnRXbPpZLfV5zGTjzh5Up522HCV0Zvu0OnISl+2
pIqENLPgiFPugU1fwC4Zjx0j1jYBTsvShD3NrZmsFOKgeynJdqzrVu8N1wtuwR5t0sK7j0hHM19m
N6fxYEpYuFjsRFXwVEWkZ9mwVxamTMgkzbrY4mQjtttrO4fgRG2nYV3J4gguHwAwTYYf0utbQCTl
ENCSLntI8uPZIX+VZHdvnEEwl3Uy72eX1cQx4LJE3d72xINCrIG7jzXrxp8674xqktecgvquALZ0
m2IUT4QiVlcGUXM3CND8sycjrl7SRIjE9asdCbJ1skHtwdQg8/oL5HjmFT4z9s2t4UzvOWrRJxhp
T0xCdA6ps7XvdJaACGGy4RPs2wR7f7CG7+3cBF8JqCDsYgQas3CR7bQDndZv5maPdSg4moMetjPD
j13h11MS2jadEBCy9MpHVQvU0ezdj5T4ehRJI3jqnIlYrManIIB2zGixOXjR+DZEU+io1PsaEzp1
nzhzCX1Ny72VAVCSndPctSYfqxuU7g6J0fQ7FOFHI/UYSo5te+WrBEotWsiwYiOJUtuwD1EweJd1
oOAP6/ZRB72RbhqXymjXFroiQSHiEUUYR+iw5dnF1A3nvmgEqGnAwU5QsaAPevuyshYz5EMrd0Om
nYfJrSqUctrfsT6EgM0Ta8MVkt3aGrY/VaexZOKGl8A6SBnKPX2ne8oba76LkbZapVUepdE2B399
Q1gzipYpDvqjAwcMFehsvLbRRPJv3QRXS+rc9QpRdleW5j1gZp91dt49yUkaZMbWOXhg3+P7kH26
XzuCwahLpFzO3VTqQ6q66ktK+U5517OG5fqW2eOq+4GZbBmEEGuTGZ3wtplv7yHjzvsU1clpROb/
bmTFF8R07FyFlxfh0DTt2n3bFXKDEY3EgrGeFVMSOn6mQx7+MWpNZqJRnHSnoXQ+6iS2d7ITgNVq
M1+fVuI0p431HjUmE9OoaqcvVMQ7quuGSlCZ5XbOzGzXgSx7jDRPFJ78a3JwRaq2oaR3NNvJOqCm
Y2ALd52TlovxMukNj5G/1adEGbeu3/DZdY55P4xZLnY415uZWhz9U3qvIjGthPbCzo/e0g7xBw//
GIGH1GgkBTIYYyjZIibR0myq2IoOeIbBss+Nco9+1o/PRtZKn9deJAGR9QIJet3RgSR6R6dfXaHQ
VVtldeNz7TLaW1zkCgGhPihsu2XXJ/i8gtRTe1fm5tMYTz6XuFVUSKUUwgHyUJl3quD3ILDiy1gX
18nQtS9GEvQXReNfuVnZhry8ooeilyZ69BZiWE/v0p0zrWf10rqMJk9F5gbdGefsIns0r2mwtwKr
1+MuFQaVU0zjFt1E6NKoZoE6Qt9Tlf8a6ZyHOtuIsZ55fM8mw35HQOg6wOLBnBaSkMgGMmaaSmIN
3tCe5Jak4K0rewA6oU/yVgyZC2nlhTZXjX9WUXJtTaSWBC03EqETSmuw3U1CtYUqgULEHWzeTUrX
+Xw22Qffz3IUj9SieVjokbI8MKjP/tTx3/5okv8MmVwdIr+0zuzMfEkDLUFx/goqQYGWK9yh6TGq
AjbpRVVZ08tiL337xZ5BCu7tIqAaqUqUHi4KGF6+//4AfnU4rc07Foj1Hwi3OIpfHE5j4opqkV2M
UDJA6MvGO1bbPhCRvBZGi2S9i6MaK4hKYlDv0VLuakh613HZIcgze3FtVxlV5b8/qn/ysQSEmuEK
QZhi/y8XO0G8ESsSNEol2/0DKoYp3k2qoiYdaI4JYpBUPj1U4GRrDHH9+u9/+qdF6Jezwo8ny8N3
1/XjrxZlJCAZQ+2Fz2TOaYVSoWf0Pi3Cj5QTksyOQRU9+tZj5kXGSazld2nndnox2LqWN7Y7DxlW
mayDB9+tHXSt4zIFke7Qw5QWD9q/OeDVsPLXA2bXJBzPAm2PF+lXQ8sQsCGzDD8/IgBg3x/MUJLD
xCWWatMQ8K3DEqLJzp1a/V7Y2XyvO2YV5FMzAaim5r4o9d9YS8UvFhuuJ3gAlm0hKliXkJ+X3Z9m
QoajjaWnbjg26Yp3dg13uu8YST23jHjajc/qkJGCRIVgY3k71QP9RTmiaT4I8g7Yf7T12oPxyf77
j+pXk+/ngbmrwcj1odeytP5lWDWYdVOQenCs3ZgKFdlTlfebYBwbb6IqIoH7oU4wNkCop2zdTlbV
ZufBlsN9bw+Ai5JhDJ5Nc6Zbtj/rYtHRxhqKJgrBB+W7iltq7gil+KZZZz1lYHJnI2BhWpJ5zdRf
zezdP340paoYp/t+WacA5VxP92TJIbkZUgSyax33DsWQawtJZUbECSLt5W/Ok/zF7LV+HB6RjK5g
bmBjv1rvxD+dp0QYWs2DZ4C7c3gGygoDG0Fga6tTThw9D37UIZKN0EMpF4YnExKtdzWrfnmYAgba
D7HF6it0FpTxKfwTHq+25M/JQ5m/+xwPWbJeT3aDHO6yH/tYHSvSuAlD8eoBnd2gm+MyF/x0RxJA
vnWRv3CF0BD8cAb+dxL9N5NonmCr3f5fT6IfKvIq/vHPJtE/v/WPSbT/G4m+eA9d1xR/RUlbv632
Y6YlOLd+/Jc/5tDOb+g7UF4wIv4BKvv/c2iJOsSHGgJwASqmhdPw//6fv4CHfgDB/zmICE7sr09B
DwSJafM+5TgEtcdfr+VeyaxsUlUdp8ETIxh97E1hWQKqTUpd791S2n2I4tEnvhLg/UaqUl2PMPS3
+Pdw46HlYFQQKevFbVGaVyivH4bWjd4Cm/jpmkd+Tam6OMe6WZ/hWEOdC2UMyDCysiJeZcrcggje
CTBxYnmBdUmARHKdicrI0DehBexRw+udDlRMwMg8j+zTWEqDjBjS8ntbEBvInHa295nR2jefFpks
iYDlVtNACog2rHMTzWBDOQVlujWsRCYn0kjYulWzeyWNJqrDTjK36zGPnccFUTeSZbOEu6qHV7Pg
oLa6iLpv/JQ1xN4uWelFfUnylV9rVISem88/xoy4oYBiZW5XZTtCeJ2jgp7vkY1gFt8VJ/zo8DK7
dUuHuZZYVPSxuA5Oh4zu56VeKILDiCN7sWunfSlHTAHAs9n7Tiq5GfuofKxbYq66thnmi0lPMfJB
qkhQlInnMyUocmTBpsArsVmS2r+bMo5LuzUfJBaBqNiYlmIlaacTjlsC/N5E7OMjAxdCL7Q0pthG
qIJAy+WrpJEsFDak3mmqi3r1pQW3Tkvq4mVKDumx5fPbD5UOLjFu6sOSJGsVH0iMewNTf+WU1QMt
tH9nMEu4Ri9QhKxQcQIKxoFFhDUlIiPzRKdknY2cEeDUIyDNQP8YD4tdzDvXS8XZbtnyUtT29lbh
uiKBDeYLvzMGK6tU+uu4FPq1YfXwUpuzbYX4Jhz3hztaGAX+tQ5U+MYf5+Buquk7EW0HD7JR8R0Y
OIojYMbIO9HHv8kIIiZrTcOhT0uM8d2nHw+zVgSXdW1hGe9nMz4TbleqY+Tpbjn1PRFTBxX1xqWk
5xgZsHpARE0aAlpAK0i7U+JkDmv2se7v4fI42WViTQwpfAxiG9G47lMpZvsq+VGOW5+1uf+jUHc/
q/Z4+izhjZ8F/Wd1P39W+not+o3P+j/57AWyz74AjMTaJPjQ2/YxCd40D1HVGN25++wq8s8OA9Mk
vQVwIgcDx9qEeKDHH2b8q8RfRWTLFcOFWpuWhO4lWtuY/LOjSX+0N/JHswMfkyxOb22C4Gkp5tz0
SebaIuE2zfbm2jZ1lpmf9BKPz6qTamsESXXFUFijieru07X1QhpEF+alEhNWxjX07LpRzN55bdnK
tXkD2kofh+ijqEPQWOSWrY2eu7Z8Ridbur+SYzjOpqIrHHrMdXM3TRe4S9NT1ZvOFlLsPcSxyy5t
o1M6iBaBWDWhxUz7nTepfGd3iF+xzB1GwzY+0CkhpUTWo6PlMPkIGmYlBVLQzrtmhvzA7iJGczMe
/C51nkWDsxb3CQagua9uRjytwrLkZmiWaGO0NPKxjfpnyCNEE1ROe/qEsE2d8gIYb/sN3Oo1yO/o
VTfZyE4bi3DpDv5NOlRtOGfYVO28HW5FH1l7vVZGo0J3Y7sLWGt/PuQ2QW9J0ub7WWQMBg2+S5AI
GqqmAb6c+csradyEfubezVI3V9CS0MNKGBcZ26+DjojlTF3DvGoaIlbcNvehm2Ga4Gl7KLHF7VQ0
R3uqrhQMntMi5pZ6Zaww1BwGAw8IBtgZz+Km9+K3Ssl2GwukNJnH1EcSJ7fJSfB5gY4/HqFGd08p
9REXxmgc4mb63jdufpgZLe26hoZxEDJ6szIH4TGCGZt8KTwCDEakeepdsqJRyJG6UrJd2wcB3uNN
HTNNrvvMPsPJxXNsGN5dXxPFQyxNxSC6xaTj2AVXhbt413OrSwzR2aLSnQ9i6D5odfQcaIdbFvM6
erM+uWbxqb8SS1tlm2VS2Zeaocle9MOaDou9smD4faiWgZ3oGJkvQROTsTSwiq3GcrkufbYqsx6b
Y2EV/h26+vIKAaVxg7Tg2aMgJCsuYFpJSpx73UjGGEizu0ycnSmNL7E1+wGON5qOvFP4wjJpgenT
riLGYCywIndMPAcprGsL4P+GHm4CmFBTRHsV2Sxe7WVno4lzphmItLXRQ2ursUxyxZWatL+xvjCt
ZtUZVXfTQqQP+DrMdR2fdJ9zGdjj3pwkpgyR2OiuSGYYWts4gdxJv1mtXXxjqEaRyWSddUIXIZxq
aNjOpccbO0xn7Wxd1OhPxOcN90mQ+R+Tj7GAZEP/UkfyzQj67xij4i+udCdAF6WJN9t5Km3M/txT
WUgmE3w6weBimXX0FDc2XK30Db73777UzmGpsEkvBB6Glpq/AO8ISPdDouR5zTspsdkGZfQpS6YM
+rmsv8X42tnXGVigGJ/gYOjLCg016svFjcRtzthll7VjdlcK9xobVnlZLMQ8FJ00542MsRKHY9KM
9a4VxXK9Kl8Ru7YffZo8YquilKK+QP8iNqM1MIhi7bR1IlPqTbA+XDNHr8WM9sPObshG4C23S8pI
vcsseySJuGLlpM23RGJJq5TvfWtEc98P4nuEkM2HExUGhvdaMvbfrnHzhykzvXMwR8tlbfb2xrP0
axUTlbkE/Xkss4hnZ13jeNfZ1o8H65hOc3GyhvrkzCwvU1c8qXHOLnOu+U2pEN6Ipg0OMiU5pDbT
QzPk9bnqpgcbUMpeLKAD8gGlT5IuH8yv7bCzyOyI/Gkgimvhs44Ki3yAuRx2jlt1K9u+2E89TE5s
b79HsfzC8Dx6NbVj3SCAYBDkO3dadFxXzu+FLMSJrWi7qxNVX9TlUF1gs/vmFWNIXcCmP9OYKDgk
lvztePTrCAaEXRMXosE7DET0HD4BZ8KY422Sj+nepHq8kaUXkZBcnUndg37YsGkyr8mxsEM6QC5R
4cfbGd/qthGpuLbq9AkurHsfTcCd0fs4ZDXLsronXRljdGtsvIERNW51BLUTNm3dutvWXZ47Nmtr
salFeUMUQBzaY3Ah6+q7o2LURUW+SXCCkUVAZpVa1VxkWaNlS+viDYc98qZ2ehzb/rYW3Q3I/Suq
Ndp2F+N63jE8n+eelOUBae2MXgAp68rlJvTOiTaTZzuXZYqZ2C2w7ycMDsm4dIjzYPp9KwFpXHx2
M/9t/H40fr8jK++a+f5brKryL0L9ld3yr9u+p1J13z7+8dC9d9/a//V9P3s+1yU9iNbNYTyIhdRe
Nfw/5P2MmX5zhATbEljYLd0VEvyz6fME7SCDHxdAE8FD/9PxCR9pv8Q7hgGcQpHJw3/S8f0yy1l/
opAmqUHMTtdh3a/T01ykTYk2xfmGi7BjACNrm91jaNaDWliv9nX2bjPObwFxzC04/v9H2Zku16lr
a/uKqAJE+3e27uN4xt6J/1B2nEUPQiC6qz+PMrO/s+x8ldSp2nu5Yk8bENLQ0Bhvg6GZj8yo1SZ4
bzUcf6wtqNGSiESDR+/K2EKjHSxn1d9Wfi0tLDXK2TfM8qFgK7YCtNhRRUU0x/kRzu2iH6qMOsdL
FGHE9V3UsIbuUk4RQPFrx3Rxt5x/VM1Rzh6mZpdWvjI6tZNf13ixLZ2pGdFuXq5dGtPFP1aPk0b1
lwrP+wIPJR0bPxXA4qiB8vpc+0N9N3TqXGc04X4kUwvM+mKg3+BdVN7Yq/CCHHDA93LNZYXtqk1y
kBz+NaP+PwXuD/Vlrh+GIMJcoGnG34mbeX8ohx8fAbQO8rfCKU0beWjhXdF5iF2rKw4K5iqOnSob
Ug+tMM9aZXMPU2vpcVv31mASZPxZA16ybTuhYHPip8TP/nyTpub3v+VTJHLR3QRdZ1QpKYgxLd/f
45zlILKVsN4CS422u0vXEOz4gSogiT+CPUMQPJe+jWfmn6/74d2Y64IFAtNHoRvlyY/XlRoPltYS
0VuKOzAgBGqTVf8183DTpV5W5Dr/1CQZEr6bLMPgJtj8+fIfiDFcnlIJ5X9oI5RnWEPvHzv1x9yy
50y80UkL8Rf2J8SnXlhI1nDZwqqr7nLLaZ1bUXaLPpU9eBYOhFleMSh/vpP3ml28APCNHhRXEI6o
tf+mbDYgpVks6Ah9T+K18dWx7WSdIFqSwMZYjnjezLyVP1/y94fn8Eh3AXgkalfxxxo/bdekKhZb
vXnBxCrn5IG5X3nw1aTRsEWf0AuezYGcTKhHZzd4xgULMON+zNHCmP4yET6Uy80AwIRilbBQESEV
xvLt32XYNKa3GsvBes1yFdYWSEr6lRk4uDbrW7AbBbKo27zuFwgm0MkFd+XndqZPtQyKZdtYjmpO
cY0sSkOi1SoXjkPe9K9/HrP3bRkvdCiqeZ7tAUwhhlPOe3+XtMsjemnr/DrDkGYS2Lq0GSx7ngQt
kRlQsXWSbtmZRTNMrfmSk8T/XwfLoWbtBVhkxcBYPULb+9uIOrcflj5oXxt4v8TwguiF58a42MPi
X4vEJ+73qVblS80JlYiqIDA7/gVqGdYIKjoj2prIjwjqxB2u1XjtkUKBafzzcBnm27u44vzU6ge6
G7m8YToO7290xsJOxmj4vPa0aK16Xwy9rPR9tw65bLZTB6GsAnpRj/wMWkvdLruoXBfrNEmZXPax
qpAQQfTWXq7rrGsGcl44dskAz8S2qoegjtMVFpDABMWFclwsTnNlrzHwyG2ZJ2D//rJMzcD+b5xE
zpKSJgVekw6wYPj3++eZFg6TavXLi7CxVGkg+3UongMF5bj5y/L8/VIeGnTIlkceInS/abHWiYth
MNaXF+dwNKL6y3Sa3a7my19eE9Dqfz0W8ZfuRxzE1LRNDZsl+P6xWG9NNzajfIak6xc+J4nIZ4El
ieaAvnXWkErrJlnOe0IFEK0zjW6CJKqTET+ap0EE3UHjwf7XMOV93JvQ9STF8sGRubQjf5vskIx7
WketfJaK2NDtRQ884hYNWiTjRK8XXnKcjNX6xDl6WUJ8atWEpzfb2BQ8pB1ktAtVI2nypCzdB3dR
Hpi0B22BuoqPpfbNpGup8rEw6AP544OE0r8+rSi0w6Wzq8psxeCuLKZd28QYA4MSwd7vKarnmRkp
/IIzJfxzG5WaHeVepBSCEGVOd0ttKydt6n5enuYy4o8bSlY4MG0AmtnceW41JuMZpF+XL6g3mTJ9
PCpnPHkYag03CtkafACrWrnGySap54vUI2X41kRN4j2N9kh1dB+C5ij+GbsG4Odf5sbHjYnR/ykj
Gf3sa4iP3UJBuT11Ylk9rzDIELaaoX8Bep1gwCHnRImS8Pfn2fgxxtKMQz3VIRsx/bjfrtgrGyfw
WkzfxKrNZJy0Z4K624clKUkARDB4TgqxMgknVw99eosEZsg8/fNtmCT93aKAMotwi2nluDbYt9/M
Rij7dKj81U+119SDAFWrfetH22UdMTYr0TLcU1Jp8/uRshBxVGLNRDMvGlxsyyIojRXuUG7aYbEc
BSfQ5VW0ANpyghEVfBymtp1PeeuaSUTZv0Ajl+aHhySvCWGZzTxsx4yc6TIpysHEs5EGyid4DiGF
FVEqMY9/Q0J8iNaIrwOAhieBJQgHl9+6/mWQZM3U9eEjBS+b1NxXyiU1H1czb+mgetATHTwSu81c
xoIvKVIJJoAH0kxpMD+Tm5wSAFl80+3ytVYX8JGECfwdMgPOocPqk2reiggxqy6B7MeEdZaoZnWG
AED/hgv4YF0BIQQKCMkAUc2APKC7vY9sHSDatS0a9zEaKOLIwyBTcwODJbRZuj/XMYiChXvD2Nss
cWKlCSlKUsl9weaZw4kz++ZbbVf25QumV6F3kU/g27tNt0xtcGfQUct1Dk2DP7OkddDTwAqVOMhI
IawCfLyRPO5f5ueH3JlHi9mLXIelwk5EFvv+0Ya5BAmm2+VRpKOJVIPqmFp0qPP2+4Bvp+EAD223
PlEMMbt+bbWIBCGdUFfpsl/rwBnSQywsPT2SeyuGYwoLwexDNplo0iCXwRTzpkqa6KYJmxe5KyfC
2kCexQWhcdn8i5Ojw1BgJshQDEOYWYMhGBQsiQzYNf86j48JhSU0+/93XL8/77z/Rg99WKMY11CD
Z/+CXO9Alv+YwDvTSuUy6KwvYx1i+XU4J+1uRn2r3HJeztLmb2Hhw3ZkLukZXA4dVv5PLvh+2NEr
JzGG2fKl1w4zZFiGgQlFRsP4eIX0cNNMJhqWAD8rsTDg1Zg0JGIEPUZpUnM13IdBHyXFIRm8iGDA
ghwfVAUo+wXWBwsftCAb1a/XBomoYSjnKmpYK6wi8zrQQTEvAt0ahy/xUsTjA3KfLXfiG0z5E31L
c/r+82jTY3ofE3l4OquCIIFtAbndx/MaSW5vpfa8fMkyILnIqWkoL9tkspPiDuytp2hSZiqA8B27
Lmp7COx0eXdlV1rM/gZqQWddq7S2vNukhsG67ZDDS7+DZbYv4Ed6ATTnpq3ePPTKAeW0Qa1ephXT
30/eiJgZgkiIfRobE7LiXh+myY/GO6AsCdIlQW3Xzo2wlRPvmkbR1y3mQVP8bueowysya0aFlV86
lyOLAXLktFQ0WvzCKw4xrFPvFGCq7qVbe3bAaMAUmjIH0UkQ3MPlkIXkm9sQ8/p15bDOVJSXc7kk
1Od7WQQHpGRSsfNra16/oAPt5k/aq9JkJ7zBdbYLp+4WxZ90gFsf55h4Atmr0guUxIcdPd5pvU7i
BpV8Z4KSdcA/KMrsvSzb2ntc/DEtLbyK7Xn+Mg+zGG6tfmisB3aMUL9BWgnU4xqOKR4Wsm2drP8c
oy9SHmHUQlqh2B7VGPuRPbrZNlQrIK5Xpy6i5i2j1jnOO6bK0v2I9TBN9hagdu8UFyimdX4Ey9/2
q+CY1BY86dgJrbI8joF0+yr7kUWNGBjlGQae8m7R6RyZ0ivlaJl9FoE9BPa+aTwYvpdgIvOsukGr
quzSfTGmwzTeTD7Q+PyQePWk/YekcUVnOkVoRx6YKwGannCsbbb1qo/yiYaK5QXdsMsStRbL5QTy
McuPYNzZbWDwTB4BdpS59r/CDgv8/pLJMVnJdhKkLfANJFlXvBkWuB/Bp4qMmy/D+ZtWnoPkh/NM
rUJt17b3utdVd7GLOFpAD8Y1Mk1WGFLH9UuNSUhTOBSHfW80+6KNzCCPkwqfTeVlTpbAhlbqZ4jo
fFomOcnwvkisYqoOYSksV16WesFN5VNQCD+PN10cm0pLqAYfZ0sYOom1Xns0CxkpRNUJ2bdE7S7z
ry2RqLC6gaqTO9U9jWRcJfdYPE59ijSqI7h3Qpa5pWW0KnRkgGcvebezZVkosGU4XfrNVxc+Hter
CzTCHjVCnRBGON0zsmjr5ewgWyxczR/h/klZNl0Hd8rdYdfN029l5kCzPaD4ZEZMVAOc6E3bZwPg
qDo0Id8bhzSCpD8NLRMAlR03QGFP1XxOnh8V6sTK8HUFp56QvaRPuFqVORydEZwwr8eRXub6/3Gq
2Yxz42EzOexogylehYXIdOb9AO4dc+KAyEemtZ0iB/1NjH4yX1u8QU93mvI+ziMN42Vla3vM9Oo5
822E9Su3kvOm5XoKmFlcQfCj7jWxZjPBAnAEvHl/sfheFddmaMbR4aNssQidcA9j03PZ7a/nUUqI
7pUyYsb3/Blf71Ppe3TbTT+Bsha8K0gl9v7X7EnWPuZPhoVlHi4Zlp+DgWg87+9Xjhujo2T+JXof
m20bOd3Tr6G2zh//7yCfP0f9wy1vQ1fW3IDTWNn4WuaBzOmbIEbFQ3coDnGt1BVpbp8oK6QtXsHn
F0UTdGCqUU/QKr1ELntJ/I1TZuMS4FeuW0YJzbCKj7iSyiEWALFAM3NT2otJetMaIhtrNEzt7jU+
j2ArWUHEtfMzZW7OGQ0mBgrRzgV8ElNzsM+v9jw9gqSsGB94kvzG3kfLjL84gzpgnsJUMZfJvCzg
m0vbQaF9RH3K08MVTyrM8J4n0grZjrvkIc1fcXLV83vo9QhmFwwac+vnAbXWaeUfbSWwkUcV3G/K
4nJ1fZQDj6mp09n4pWvE4G7QLzX1nH7i/eZj6HavTpA2TB/ksWvz8AqSRPAJoou5udYdzRdvTCO+
VIaJYxi4vrn/RgeY3zxqY8SdHxoEMaxT1gknFRdlv4TOcI2aoJkrKFDFQ3j8NeRxMSpuBy+wkj/C
DtBy8ULmJfv86HRrYD+SuRUoqMjOAoW5tfs04eJQWlqOTEMlqdgizmzqUbymTF+GbWqWs2Z/5Xvl
ooMiOpQki/NyhStlNbcXdKeNIFgVexXW3Umfcs5Hz1bz+Wzoer6QNPrVXd1p/rvUE6VB354cCmAd
HYrqbiyHhKIAcEeu7mRpOz4FiFFzCkiW1cz9CRF8St+z6FwiDKSUSkf7qmaLrfezhU9ff+nHbFXz
NzuYC+JNWiGgXl78KpJjwJMpdNizivPu98WDoSouZJExHEfxc810LbbBvPYEmMT6hFpEOw2PHdzA
KbhAV9Q8+gwNlCGCo7yWPFGZInG7D1bbIcoNCm11uACzNLOGKpyZ4ucyDLJ+iNVvHO2a5x3y3OWL
YoLz+S6nwIsqTrVSLY9h6zXxhpLFEtS3QoIvQbUNdAeTevR1z7w6F1lWB05EctBNpxL3Mk26lb+x
nguKCdZz1EI73yupAicoxAVI8HF2arYDonycQ2EXmPU0eMgc5Nu0jAZCpQgStP8AuRBpigNnPTN4
OhemVICWXUmHoaialF8HacxTfptIz3DNnZJeqfwuFoh3YIGj2e5uMcgRwfDZozi3JHu4ydaSHYJJ
+lW/o3QBNX8TUgQKnr0U30f4L+zVvPzVgrKUgDiszbZR+4kZc+Uqh8l3Hkm4lNTXRW7nYgSpB3ID
nTcISdZJkUxTVVhlFwfPxFvmlzXJlREoPNs8QyIbi+DP8dJUqaAvmRo1Xat2ks9QBbPOecVaK6ju
gqCT4F48t+0H6x8siYo52bOjicrf9BVVfWsbVU6onqiz4nXwBW/FIk2NWZ3IAKqH5DbdWzzmY+fC
AoooTRxVqcc63louSIenFcweDBzN7jBz2IeYRk4Zhn6sHc0sr4vY3Y580wLBEE702+bdryc5v8tO
FpS9t74vFvNYP8MNkrEm/sVLaqIJ2b9ZvHlfm080P3sSSeGa7/mObfGJBTtNviSC6gQsZhql5vPA
lFjKKdlicrcOi4PsEAvVrMq4Nj/5NWXJKYlEMdh6fnSu8ptwaiEHNS9KhPChlR3d6wycVLuZbGQi
n6FlJLF7OXWNWeWptZpyYE/3iy8eadkATsxmfns2XRVAUagY1vsyp3/6/OtCyHmwpXVMFet0PrE1
ebGGQBsbqb3P5TlgledCY4fiArPBwnbM3CNyIp63w+S7wwQt6wJtnTSa9jzzMNGbHK9yNzVpXIbw
i3UKx8rclv654Ky2ZB/ZJL42i1y6pnkK5H42czJMgKAjBZj1TV3vs6JiNR7OA0J12wS9MgpMiuX1
jlVcZ66AfvmXwteHAz21HOIDM9gluAXOb8Vy8I0kp6V0T1kL8rbbhGk6sxqMjCFyvZ5ZQdVI4SXD
DaIz9/6X0937s525fGDaQdAyIQWwcN8fbJWeW2vqQ0pV59BYUAPmLjgHsJL+fKkPhSZWkx3aNtei
ZMV/A3Os/xfmfgIXEiWkkv+dI3Y5I97aycRD9jymE0dEhgrOFw24j0niKY9X9is4/vle3pcQfBuo
If8z1qZU9Znn7vt7SUbhUr4t0hN4WcJY7jsmH+/7CL2BtSV1/ts4/35BvGIpHKAKCB/1N6MXWgU2
frc2Ot9zw0aRluz4l+FSEuZ+rew/P+BHYzmekNotIHPHxdSNJtuH6v5cFR5kpSp4+BUxpgxcNAja
QCy+f5hhLIyHAmKT+qwnsRS7WjcmngtFaLD6FVzXX2rKzvuZzphzlDK+VcCtcZaiAfl+zJG6s6Zw
Ed1DdV5UE3kda3zWJYrchzwac15B5gHUxV8Qhw7uoLMQ+MRqQIpOA1vrONkf/Fq0Pls5oQUzQnTf
+DjrI4HHvgjOk9vp3KWT5zD752H9+Bp5cTRoEN8Duo+l5MfSE/suTOfZGu8wpDKRaf2ZCMneb/Tn
xYrgqf7fr+eD7Uc0EtlI+AfvxyxEjJkXbOu7X9venGZdsbFbImtriOHp/6m0hh6lEzm4NbMw4BFg
kPchHIgpoRI95sXdeVsiSTZvIywr1kXTd2bD+PMDOu+7UBz2QGjAv3G5Hhnzb8Skxh6ypJhl/N1G
FfW/E9ANSpNUKVGbg9cUoYiztWtPuYiKIbnDplGRtPXg2jCzeCwmm3Dxl/s6Q0T+1faj2kcjDpon
XDiCwG82V7ZNZyXMs/6oVjD6/d71oW+TRdueq9t/+rWh0b5t+5TqaLypk5Xz3gYO+uDg8RLXAFLT
bVtKajc3rkf1wL6vEx93hQswpvSq7yAFlM68bBOXptG3vutqDjII6XhNt68ryFHD1m7toK8hefsU
y24EIjUiuI/PHbky4DghPiVN7XTzbZlmYwyUR49B7lDVKICQXHBUCCEMInQtiWe/UozQ4tcyhJUn
8zLJsUFnboKfgeh8WCh/juaU1S7Bl8Od2cin0bVISVs3ItNvjLzwiSQp0OGdQHeCP2CdsxNJ05b3
Zkt0EfNNiYShs26aXsUNxjGgcQuN/vm5aNGx8QE4P6ciP3MgemMT47t2kdmGw26kNsTpoAzcPX7N
XLIuOReMVzb9hjxF+rjuORFRka+K6lGQuMbI7ixI38vLIsDSiON8Pyoqpcv5JBVPS49wZAa/l8Ip
NZSQPgHGPEPUJlsLR+vJrjedANXk3sddjMIEjHU4dd0Xf4nHtUUDhMouQnROCYHzroWj3wZfckm9
GEh56AFzOGQKnYQCSwTSxn8WDo99dOUH8+Q+O/68DNEdha9Efm5g3ZfuvmigDnCWZenPA6oJKFC4
uIYsvNvdNLvGJtu2qC2MW5Irx4+2i7ck002JqQKq77TJp5zzcBwpOpugJbFBtatheg3sulzgoHuk
zAh/hE2tvjbUTiy9gRxomma/oklHnz4NbqKayFscsEwJkOD+lSlRujaZ3tIMZts4T43qZz7XhJBy
yYljkDpwcJQdYK6sevRLuA0AsmhEldYYfyEMt9FJNrFVHRCySn3079Lp5C+5X+zw/EmOuQfWNbfF
eomPwXhBLaJ9CFWAhTqWAXdhPlSoo3qj+pIwqS+81FAoWX3Za6Fk9TW183bXaBtP7CRT3oHjKkUh
t/GvEaN7bkuWYzPJ4CaYcrkLvSzj7doWkPlw9vZFm+tPaGrgKEhePeyjBZUQZmxQf8+kPrmOJ6+V
Z6XX9dgPe7+niAxAJkWxQyMvG0/RZxj/HXgDmb/lwHLRLIF1uqDZCI447hCGdOsDVkT0cRvp45FS
RkuDFWoTHib+5GXEieoVnXl9BI+RvHUxNk7l7CCst8SFDx3ebk/So7q+qSiygBEVbfo4zWv0UiFN
y2Fc11+myM33tjvYV56NB9mmxeD8xqPQdlBDj98SsgyfKf/l4KgGEb85NGs4kTjSeRjdIssPmJJZ
CHjWw0M/epQMCAU7OBL6SvRQQDZ+jQZFEsbIX37NRzdeLsEQ6O+96xXOvtUS87gUI5QF5LYf/YgG
P6x3VmKpqzoGULDznKH4PI+i5KRTt9d+P2CNlURZ+2IXvbwBDWtf94FjZmjimy5oOk5XMwnprR2W
4yX1axj5eMy6u4jo9+ZMEyo2KxIB8FLAO36bZDf96CxrNnLF6wumZq0LJgCRwnhde2ZuVsFeBsml
sKdbp3K+CnQKmcN2ZH63OCGBmEMR0jqiElcAwoFQI1ugDq7U7rVf1fOGWu2TPy3fcb1P7jyH5TP2
ethRHLTzTTrXY7jzl1bsvXBo7mTmqW9wWcmqbBrUab/RJSgGhInz1JcbSwvvhd5yuxFu1RxxoxAb
166Hz7PTlJ/h3Q3lthyG9LHLlu6rgrPlbrpZz1s8jlF5LLg/eqYRVTMW3pyhOjtH033s9hlq5xDp
XlDuQVQotesnNE67jZSjg2It6i7SNWJKOFhcoc6IgFAUzDcFFfuRxgHEQMo2wybRFrpGqU5vgsiC
tlA5ZfyiLNKSXUSGhYdD0Xf3wRQgAep2+F3G+RpeDE6b3YMfAp0B1v7RbRt5HFGhORZyDF5w5Xuc
OOk+rl29RsdOelBtujr9sTAgxwzLAo3unb2ccKcHHa28jp4roroo3424x8SlPHZkks4mDfv4McYn
8VXMUnzBU6p9HVdcXjUTfDeGrXvrAQ042uwUu27uhhMZooXAezPeIBxVPq9IHx0F3DoQYxSEAZXb
HnsZ9DsjxBpR0cFD6SKktbKVfVMcS1+rRzBngvsf3Sss4wQEC9Gjt5d093GT4Vm8VPGprhFuTVGz
3s8hIZeDbJ3fNZB6rpT2pvsG374vCsPJ71AjCA5ut4x33lKzeKhKfXLEoK9nFU6X6L7id9bqqDkm
2MbsOOCC/KRwEaPCqZIb+CLqM7pb2WNE8eNbt0Y4oqVZesFiC29XxxrAVqEOWsWJj4hs5SA3VsfV
LsIzSjDfFZovqdXelxTR79O5ldATZGUfFNSeb3LQHvoH/rreqNjT1wCoUOm06vZLKta4JmbXqDWF
ZXTh0LXbjnL1PkVjKqitK+vNSlywcTeLj7l5jDLWTLaKaxdF6eim9MUYDnu7RR8fpftYJjeTJdN7
6iS4gXtL81QN6oXfSSnV5s5TX5PBFDos7mZU+5CBlk5+FbfSfdZWoqdtlU02rq+hfszdceyOmVsJ
bxtnTniN1pyKDmhiN/FVnUVyRycW9tVIx3oXxWsNfn8d4nFTi6S5ay069te4JYaMdWBPg7rp4pFW
jTMrZ7psvK7+JGbP+hw2cS63wawyo+or1UOR5mO9p2m7ZNd1jhrWzlKND1IzSRzriGdUvz4sUaN0
djSph72Lu7mt2pJRa3HZgFYSBaraOiGZy9avdTLeUu/ASQUGbvplCtd2wcSsCm6AESZYNzikiNcD
R+nhyUdZJ1LEESUHH0MmpOgABl2MQxBe+e5sN8WXVSwJIrPL3NnQSlyCnY1sHjX9YwfVA1Wosff1
KUaCoABDk1axgu6BLw0ySF48n3IB7mXjZl71uV0ca0WFmHMhOk6da9/g6oURkauoxN+GFeF0B3Bv
RaBjza8KpN22CNiUV4O1zD1eK4sVxCueOnVjz/WOSktdGpyVdP360zB4RTTslgCZRhxIdN+yHiIa
lFvtLG699xxdZTfwYQrUyRoKtdt1mDsMr+qF1k2oi/ICu0sfcSVafbdlTqFzV8z5fCEwDI92QWRn
mHoEhXIuy1RJGoraD6EETfSvg8Ed7iw/nsNtXSSoNIUoQ1FMo+r25EhLvaH7XeyEkhgwtm3iCFj6
mYvKFylcZrVbuuuAySaUC4MHpI3akMRMR0tebYmkAx9oUY+a8+9UHpwi2ouk/+qnnTPHe0yIHBSP
pDsjMnnrWGOg0cXHb+2i6CLvJR3HZ3we0sc0k89pLP1iwymhPk2AM/ZJlKijzd5hEyMCRf8qXK+r
xa3ulMiRMc4UDiedXGFRgx6Vm7r265NqEKBWCu94HeUe4XUc6u9omqyHsMUJvMMc5pYWYQSpbe4n
pHfYa7z7GMm9E4bdSmFRSbGG6cB82QBom96cVpafJSr/0b7HyO6mR63spLt+wG10xiT5krJvigdy
PceXdYuKudt01aHsEv/UlLazj4esvS4T+GJuOXtQbug6tmlP9znmVLRz3WR8aXSoj+vsuniVh+zB
OzseO4hGTtDeAQCcwB6qCQo6hqAYQZUp5vJBP8pN7NQJ0FYQjfqyD3i4/UKV+oTwaf6W0LhGhokG
2U6xJqfNupQITWscPsYcnT4YqaQX3ELywKaDx2kYox+OJNhTkafOM6Wz+QDqBuagHdcHeHrFPfqI
ajvWQfbVbupHtD85SHFuO4S4oH9rJ3doN6ict9+Enagr7Qo424mai2ibU928wj+Vh05tStQ5jCyQ
oOITamT6asTc9nuZifC5TFLna+mI6Wak9brzsU24FNR8n6ieu3DE4nWWGxzXutsgSQRpK7HRzEHv
u1capChsebNpwwd8bTGWyveQvOlkUg1ug0ucDfJ226t8xgmgWluqfeGEUQAqeaTSKP8V/m0le/c1
y7IBk82Ke9gUCMPCp+bvYjWISyjGqNK/rAPthvCtQWJCZmT3vsKgcfgPhHWU1UsphP3MvoumbWxF
03hhDWWwG2RhXeSd7z6axj9sNTyrsBSy5CcfJuWrxjOC3YGD56HVCXCmNvHFDb03dS0XUCEbbH1c
dTP3Wr6W7jBDvqJOOG7ysZq/DziOQozVEcc0LSlDviFbwg9pqY37phhRB+hgtrG3zsjcGNznD+xx
xuSA/PRw7eEFylGWbGTYVUln+Xurq4Eio2fpPw1oqH5DuWOGVC76XWVbnX2np9A50R6LYmA9pHCb
YJiy6jiRU10R/JppP3cZpLdujsk8gWFY7Z1AE9XaQgkGGLTUti/3CsVf1DN7QAfe1stqJIDK8ZCO
Ab2QujQmZQOaj+YUi48S3ksuKbVokvVrg45w+clFNbjfcahISiN4i36g3CpHp9VytGy3aLxPAX4P
8LOdLhcvFbpiiP6OeA4VhhyMn499W2Zt0MZbDtuIgG/0mtW93obst/6yy2hARdVGAzL3ll2DVXFd
Xi8RHp1QQPUcO/K+GoFOi80M+jzW6KQjqvA1TbGbTncTS4U+CCQh0eD8hLdpMBxSUrXmEqaeVf/T
d/08+nvU+HK0evyOZtkJIibNk6ME6TQ0O7UgelXcF1qWvAcPlnSuC6DIFPERzlI8/o/aikObceyL
ZtlhFD37X33lu9npXG21pOkYDFVsapuuk8zyOo5hENEzJYxTvmAdruFb6iX2HBwBRq+st87p4/yb
lmiL4l6NBsGKvH6ZFFPADkE4Hp50Rj0BZjr55HxnFzESBlud9rorjyvtKd4WO17RFq8CB6ARE4Vq
0EtzLTSPt24gtaEDtAW1gqrGSQy+zDEqBmmaiytb625pARLlAykOR4e0O2CEhAQfOLt2VwIjunVB
Y5G5y5iIucR4Fw+Rd8yHsF4WSRl1pBSaIwOiNH7JyOrNHlx5OQGZiSkdNG10s5L5RfvEqoKENtaY
xLhbOl4Xe/twWYV3pHFXP8lIV48W8BicDFo4cRtPs3b2wEXqN7sxFHdA+ZlCwjowdHk0xhoEhVYX
WU94THr5Cf6/QvpjvPeBt15QyM1vWjsREKQDfVs4y1LvpahBW40xnVxpVacinqfwEjFErLZEIxd8
tZupbI5qsIEhzpGcYILbY/km8dWDzKqMwVPAPqp3g1iXhx7ljpn8wKr2JKAcEJNC+v5RBR6WGkkd
za8Yjc4Lkt3p1DkPUZnj4zXlTfNd2XSgN30xcjJA1nfkMKIKJ9uTTaj+QqMHMb6lFnYB1paE2m22
a5mlB+hj2Aceau1EoGtc9O2xO/OwG/YWu79w+jb8VmF6SL0yTFxse6kn5j4H1HDp7+oowBkDZRE9
fAW7AO5hoyQwuS2gjG4kP3JcgEHUtu5SDt71xutIw29nOmYz1OUy3IdlUF1Zad+CRddIb0rAcbIG
e+Euut9FjR/TU7KG7AidghcTzqm1EYDjLhB869BHpV72uoI4YG4k8Wdt2S3PCTU5cCR6xrzsnRcn
kZE8bacfFugjaoeFTG8swnD/zNlyyj6HRa1M0iUwaCWDCa6UF/r5KyFSLEcxesVDO4nkFpxj+oas
BSOPO+MM3izRFEbWNcfIMLenx2j29f2koMzeSdh1tHfDuiWahjVsg9KPHxyqh+EuLtrp0qFmke8m
wC3/mYQHvdEve+8CG0xMRifln7okbQ+D29hfA9U7G2xj8alW1QrEvl+XDbSs5Q6qJ7IWru5HuGYV
ig6bGIXa8TJFR5Aw36zgOdNkmrnduDLYBg7DW9mEi3ugxUOjFBW1HNUEJDoJvUbrChlmGYIPFGnf
kRRgYX4rtNQ3qeug9GX7qQwPIBnkl2kOB2DDQ8NT0s4Pnz2VoUNXk39/wtKBhLePvKjZkFIv6IiV
SQyepESsZseGXgCdolpyv9YUADZrIGWwL0cQcjth1/l+RbuTAoUPHg7cRy13o5D/TD26om7SI9gz
+Mu3kGgxXs9Do+QOlZzoofcVVtyD5aNgYAHKuRKIJd+KKnGvowxvEXA+Cd7NyklizIcz9xW5svIK
IdT+HrBdsQXE5b5A1tENjQKEdpCQ6bGHDCcvX3Z6WlAHqlQEDV9neVQRf5WorgvHXfzDEEz+Ez6S
cr6jcFUKagEtigmVrB3jTp0uG6ye1F0LRMTeh5O/cCaIXWgJmA6i/1A7kPpLf1bTln2TrI70fJcJ
1UVm3IJPk5ioQgu3Te6iqhZfO2ASaHro6pvASvGrwhh8k+VQx0MgkSCd0pEpX6lvWGbYKbnVbG0t
Mo9bpWEd9ZRdsB7WKCsULOqdysv/Ye9MduTGsmz7Kw81Z4CXPYFXE5LWm3nfakK4XC72fXfJr69F
hTJSUlZGVOBN3qCARBUCcndzN6PRzt1n77Xt637oq2NvNoQ1Wjs7IwvYeyVUnScE48TmMoisz7W2
6BtpqN3d2M7aAcw3nZnp6KwYz1It8L6UKDw2K0iw9nEJ4dZVGJxAUUr6PrUxvyPEmwQt2lbQcqkb
fqOblAbprjiVc0W3YjqJlzic5QswSmCcHS0p0WJm8GDz8Cu+YDUwTKN/dBj3dzRlic8VFvIXlW8x
qfbkicOz/0JoxrlItvS7eux51znDGw7j/qYegHt7Tl+pgvfBcuNGCnCzVlBrzedBS7+X0+mBY+Mu
4bvPU6O1zylaR+BIDipk5EuKzWNRPYHrM+7TWDcK30DUP9QUTrHLwiqZ6fr7PCD+Q3aokYPaz3xA
ZQVdww6BFPuFA21V1Het0VWGed3DoeEu3znOai5qG2LZbPnlnBbgZWo2htW1MeOFmXcT9QHsFfRK
lX1MLXxcpMsBJ/bcP4aJnMx3k1KAbE8pSNEbfmi0aq8EzmiCk+bmlWFHIfCFwSF1RWKpAc45sTA2
Ouqc+G1mtao8DLNExPQsTVLea5ST88kqy56bSlNTyQD3xTZjWDbMeRgNAmW2oghHioFJCj8xYzy2
qJmINm8afOiGiZczrqsPtaEHsgvYSOK0g7kDAgLUzZJQCdAHcLpXFzjXYMMWJEqjRW1uR93pOcIk
urTa9qlypnBMAzapDuc+Mj+JTK/gE3VDFXST5Vhio9b60DWfB1iWYvb4KTXFX1NlMJJ5C0DAZtyH
pDdT10ewXv8Sw4pUN9/FEbCx5nlQokUzvSR0Mv4NM7ttwe7pO87Lp3TuwtyigdilM3X759u5n9ew
LA1tFtpEZ+nwYEfHSubntWhiUmdkRon9JavqdZ9Bs9XqkCiA+vOCKxVbqb/YU/68vF4fkRQ3u8o1
OsxudCUM/GheQJtzepVgwUfx+yNSkbM6FXSzbNlhd3ZsDLjFRlUqZCOSlJ3g73/y34I57D6qq7fi
o/u/63e9VzVBlSjuv8Hj/vlfD1XB//70Sy7Je1t11df+16/66edCofv+2wVv/dtP/7H5Vop4O3y0
4Bfgff/+OwCsW7/yf/qP36sV/4LipwkaFH+4OtZH+P6d63Pxn/9xqcr+7Zcimd+/5zvKAffDb6qm
r84LBOtvvS9/NDUKCxafq6pY09eXV8MH8lNTI/+kWatBB+jCHzgHg/oZ9n7wIZjLTK7Dv9fUSLHj
j5kzxl5AAELnfzp5dD7Vf7m2agwnGj3z8bVd47b1c1atKHSYoX2zgQq5t6tML7dUcMTQzxO9vkRa
rvjAnuMv+NOWCs9QQVEUylcjDzFyO4dmLD3vSwvqtygTx/AoS5zPRJna/DlZjOZcEVz8kuqRdHE1
ZqC3YBnac1Ao40gvFC2+jzahHu3QoYyOR6kn7XRpa6vcoAhIIkZaPuMjtbILZknDB3DVexylzuow
1wkDrBP5Ii0X5Pi5/QTVq91oWpwfjFGqM4Z6h9J3k5ZAb0a027rMlBrxmdKEWk6X2yUfme+GfOBD
tB3aw1gVae21SSlvx0aBegP4vdLc56mERB0reQ+QLqrW32pe0mdpUkNJYUYdcFM+x9yz2/267hDo
qRm8jGCo8pS5zqY/uqfPXEOYhzbT+YsSZnTM8crzLKvLIG7A7Zr0HyzdDffe1DpN5MPfeUbmE+6d
FHGfyWs54BvtFONkt4RM1oOCRxujhau4dbh/bjSpTZcqNUDkgRnKZ9Jq5dZanGIU/sROsgf2k8i4
aiRtGfU42KdlkARZFl90ZGPlZkIZSmMkjKiV2ngQBVLUeMKIn9Ku5klBWjw7RA5JhTrguGm8Ym0S
dx17vJu8QUX54pZ2nX51U9F9nTlYT/qVVnZmIe6B/out1Sc2W1WGVvulnpCnvIbt+Bm1Ojta5cBI
bBNGjWGQDekBA32po39nt5ge2823kl06aqfrbib2qCZJymUpsyqYIZ/ilqQ2jh5BpNpIXbYLCtQu
q+JrkdRAca2B8Z3Dp0aVWxuXft700dFxehsJROfZ9jXOGnu1VMd+Q6QKrUmqLcCkpXurtDp/1/gY
1rcuG1tIVg2Eht6hoo5wYtrqWA5ccez0nmSCHuUr6SwVe6McPiGtjP2aFTBvFJ5Bk8qyOvoErEo9
RalRbAtpKrtRh6Fo83CX3NLrnViEvC2rXuzIvznpNSXEtlc0zjR4maZmJ03g10RR70Zi7OgaI7LJ
FTG5VPNknxus1NLliFwD1DFVYd0P8Ru/IxZdoktbzOFXVtwNWTAY1hltBhCGzMJPELrdbVUsqCCp
bmyyJiuPg7DrR/rer2DmmbfrlX3NDKAGtqpDOW4EpHqUbqBMve/otbl1iGG2PAO1+rUSMy19Zha9
8AlP22BjTOdqzPJ9l1u1NydWtEvTcY0PdaEXNnX3hbgSxUlW695HBjWkFrm6s5PZlP2o16VOg6ut
hNaZucE810mj7NO0m57Nhn4Vug7kdMa+rr0WJt0q3jAvFWCPXNXvLFikG7BQ+lfFhlzu9zwb22yB
tUhH4jupeNdvk7BzCH7MDXmD0TLua32iz0Czx+rdcObogfBWhBSetebnvoAhV7od0culVg45tXa+
jobgNfCnQOhb1TGTjOVQGdHRR5JROjb8PUkjNEDIVY434DXf4toRXOhDn5yEGw8PPYKGn/P8PHSy
ueWyru4cbT6TDVM4ZtIqqNjgOT1Hb+wjWgCBHmzzENOsMr5xcyfZj2FVfoGm76ITEtPw6kJVLTRp
ei0JnR5CK73ri5Y6U32NYnF13wulqgtPTLO2d1HrOKQtjzAQBZUOJqo6WR0onPnInX1Q9U9VTv1j
gX4WyEkYaSAhmLyanFIDXdTLXSXdxDfsdnrOsLaiRafVhYo/zqijLd8VCfcLeaj/GmWT4sM6WzZV
js9JokS/aOVSXC8ica9H6Sw3c2lWW5FH/Y3WtvUp5Ex0bwO3zPyOqCzZSwxQwPca9c2phzYwoIjd
pWh0PfnXWPdjjJweToDoK4Krui/H0n7VtX5RgoVLC7f3lPtxP49APiN2dWXFnd+ZWuhdzgjaFfak
zztS3xqR0B4jTDknZzLjY0WQ56YRSPp9o8L5mt14/qAioL8nN4eq0dBcGnTqTDVDjMHBp8uBlicx
agc8NfPgo/l9FEWib4QkFKObnHRlWqe+QlvKeSmr6Ta3lc0wZ+6lGTWTLpw5icODbinZJQbQGmB6
Tz/BdqQVjJqmi1078z1pCOpiFSt279in9fvR6eWhkmFioGEbtF3GiXrdjnX2XLhV8xyxKLwphzx8
qrMwOQ2yofZ4cpZH0RozBcAV6Eo4scQn+sajYaSLA4O/tqI0UVP7Q5kDMmQ3PjySMYV5lxhdGShw
W1EUjWrTkCa/IdUd6XACgKqV0DF7v8im+QS5AFU5aekQcSpD53nspxdD2ibpoNjacZQZ1y7GcDmK
RFjvGj+f3UpYJjdRz5rBSlX3eV6AuarGwge9Q2ocSnzUUamQUJ1pJ3X9AL2P87lCTpFlcsgGKqBx
5oz9od12tQFy8dvE97eG4/+XufencfrfTdn/Hw7H5L8dRtY/wtP/Mhwfyi/JL8Px9+/5PhxTpYiJ
Ak8u9AUizjYnre8t5o7zG4gzTMsYpCGgYFr+52wsfiPOwDBNqgFcw7eJFT9jH//nf+j2bzb/sH6b
y8BtUnD+N+DWhvHzucvktKWjmmIRNXUGce1X1tmAwSVZyOgfQn2Rgd7k+ZuZhiFtvSjstIIv47ry
7pCEumGF+GYobWcrbosLnEhMW9hZs02oJuMXexDc2EJZfnKhLlVeRPwH1ZwdRCCrsN8WFIR+IrOi
H5jWtes2mZivEEZ1HBa5s1CESP5g07lEYxPLuWcsyu/A2o/X6vhWgLn14o4sJ0dA2kazZCSROObl
ssvUWr51DKmSPAc6Ek6uSAsDySQlPb23o4xmiSb7HCuZHnl6WwDCn8F3bgD1JAc+vZhVw9wdLtEs
wcgOargYgdlyjthg2CJN3YIqFhiEcMA0bswgJOMwPuupPbKBnm30J4VdMHq7klXvdVfXr1WvLldD
N9M7o+fdidbo6Z2BtHw1+sTM12onuAZT1tzOdRq9abGmkVDTKG6HfjoOgHzZ+qk4Dp3pajFldUOQ
hbsorYw0xa7JMDyZSXZFiEneGrm+4DNj399VB+gYA6JdNvhjObSeZazaTGLfiKaj1CjVi3fZ5Uzg
snBucArXh7BP+3uifF2QdF23MaZZ34dLzRKwVJiHzJ5quHRehpMjpyQ8LJ1ojuOSxwBcItONvMRs
7DNjFkJ9i3zxpBf1cI+m1ML8hSKAQ2sULwlhp5deqeWhnsyG9LKLfLVoqUe0zvIqkKP+JCF3LpEY
nnPKj2nXdov2PIVtc4KfPn51GddTet97JQu63IivR6Nk18IeICVp4qLlCmGPl1yRnA5ca8jemjnN
NxHDhbnDQgd3U0un7lOaEu/yp7Bpai9r9OiGEvlS0Fg8J3dxnenPWlQkt+5i8mi6arf3otZIxDWx
cRJaOpLUG6p4r+ir+WwGIKz1I1y/WYx3UVzkvkUN46tSRu0Rldj9mNrJbrd4RSPDY9PsJBt2o+6d
m1rL5LPVr5SXNMJvHGMbIzoPpLdk8b5k70Zd6S7AHS3bMNcXgWv2wm8KUT7wOmaPfArGNzY0+Esn
5vhotxplbKKamjMtzgY0QVgZAZdr9cD8pF5H6K9doOCJPosqMvi8NQbsNih9V5glqwTqTMG7/EWW
gtA+ureLwdfLJK74+khKS+X/VaWIENukO86pdddVhJcJnquqpGpbI5u07ImbT15ItDy8m6dRn4+x
Gaf7ZrJuBCeUoDbshcExWR2cTLyEJ+xx00kk4jB0Z0/kLLixNRlux1Zbq/yy6Mz7gYDROjuLHkos
ynFMyfyVURfyvDp0dhRRkTerOiAuGZUQ0IqyjaPz0dfyfrlDiFdtltZj/ihD4upna+hZctorn9UN
jHoZVGiu3UTDLLaO0rzSBEP2NLRPBrv+WyVz3CwAPTYdSGwc4QBYl6qu213RU8WOULfs6qGYb8lE
aoeBYJNXOWZ0cOYuv51avb0DuyqRy1Oy+Lqbb+yaFxL8FV7Mjra7Jr5CJPWGAglY7ZPzmB5BrPKT
dKXZDXbYbOAZvEKOYWZIIUlz1OGznYSkIzp+jDL5kvXdU2zoxoF4YeULnpat7TrddaIar+5Qsxle
dKoIp1G5cDwP99F6t54H9bkUfe2FtO8gMHxpu/HULzyHYa+e0kTrZ5+eXbofu/hRIpN7eVo9OfZs
H2g9ezd5xcjNancqfWlB2OdPpNmvrSlNb/qmfDFg93uwbexkVrf0Id6PiV4Am7NhBaPUe+qUjbhW
iFtBdq7p52L17c/U4nnD2DU2TH7rQgy/O7Z6d+rTMNqumf6dxoYrEN2ckYRDgQpsioCPbWQbCX9e
vbzGkOkvrDQNEpTC07iMThav9lmNWg1/91DeqazFd+T0lR0xO66muVqu5jZMIbBUFBY4aI23zTy7
d/oCdIw62D6/zRQJ89ttv9hVrB4zrCon1kHNRukmp/BrE54Ft9kGHLfD5fdgq20UmCjtOCRNbbOQ
LQzgjM1XuQR1Po8CnEQWDTSsGd2V5ia3ZoslVNfpFmvHkT1lmxV+W+TFPTD08NbUQkSlocVkAiAw
0HmZ3FCdAqjX8Vsuw7e4Q47W8NDfaNKVJ4LZHP5Y5twPE8C5XreOnV2Uvhy4dFJFfTa7GLafwv+J
iWv6JEWwBGX2Ozv+7s5hve+ji8xbnSwxxDE7/0obU3m1TJtuWIbz1Bu4t1sc2lfcY5RziqqBf5Ya
9jszj/OgsYHr6jbNb2ao1TvAcfG7kee8t+iXYy2bDXdchPkVvA0gC3Q8eFZp2ZvEYtmCYnNjEzcO
ei1tD8Wi6ze5o7vrCRXLyiQ+mcS1N41QsntKq+ikRDd77iuDONmkZYIrI6a/jbnA8oVhl9s50Tjf
mLq1E3WbnLCCuQQVpnlfOok8WD0fkTJbrIOSk9cL/ndO/iZF/5WIrLO4/7M5+epj+j/7N4p7gcl9
/MQE/v07/9EEo/5mEfsSrFy+zcPfR+WVCGyyK3ZUh0l6HZb/OSqbv4FWEKaLWgwqy1zF3++jsqH9
xljLlzNgE97Q1L/VR76KxD+klQyIF/wgFBJH5bcgZ/jzgsJQLBk1OAP32aqj6ky/nmZFTz88KX9J
XmIaXx/EBdJGOJl0069U274aFfgXzrIfMlwz0u7YqdsjUIzM6Dd//lA/p0V/fyiDp8UmHEuO8deE
ZlVwZmf+WPYSljvRZpywGk46Sh7RSeAp9FSRtMpOLqbhuc5c/cXD/8vT6ZDIZcFkC0FMVPwKR9Ty
xTEn8rj7tJwetMJ+dlj0//lfyEXx8yu2PgR1PrbL+sGBMPHzK9YykjLNi2ZviulBmvoToiXQUxYi
yM8NV+kfx77/5pVjL/avD2doqsMqg8o7dh7rFuKH+K0eNYYlkcr2xqQ3xygrRO1XrlLgSg6LYz4a
jwbsTBwmUdOTM9erlLxM7tLeQdMspbJdFaKDaBHxsjhFc+Yu7FJJWY1u48s8B7TeoYqX2NxFvYpT
YBBIwh+0tNA/M97uIoI0X0sDN6K3Gnme2M3WLNbdoQgypdSvYrjQgU55EQm7WT6BT2/P6JIThyLN
bhE/MMM9WDifnpPZhm1UtPotHg/z2uzL7M6i3MQbjbagu72ProaxJDhQuGFQOQMfLKoJgGFYlkPm
RJchVcatXhRfDTu/qxLjHT3+lrBSgSLvFMdalZ8iyoR5iNTaoGEwI+j0A2T10uyyxmTrW4oAd8P0
gUhLRi2Nr+vZUhCyEcUNrRg2UzVZV1KSfXEVKzxqkf5kKyI8krrpfVSZep38PhiU3AeoX0kwizSl
vaKJHnrLyH1oDT7OV1JlFWZFyRZ3vxDu36Rgiy+I95D9Q08NnXk6mZFqZRsUMyajaJoj99A76UAd
W2W7Dw1nwCB2TOFT2m3TPZCm6qkE3ym2pWxb69EobeU5zsb2uqwEP8eRUnuoRMaCoU2GvapDp0/a
tueA0pjxiXaD9lLlqrnB25ttC2KOrAua9KapcK6nE3BEuoO17Qja64mduhPMI4sNmE3a8MqBvRGY
KWdxVhY7ekhidEecqML796GHekEjK9ruzBSu/x58MAY925MLFhchdWtfcEbwvqUfhr7EKVHorzHK
MNupZIiIeulyb9CffAv+Jt0pet1evkUhBvpLNTCil1/jEJVFRtMDpBN5AAATwjb/yEQQ8LRuErvb
4rjlxBb2Noc5EX1Khyw+8G3PcoyOONGaQNbTbT1nj6xc0MDGlLGuKJljO8SwBBc+3pOIET6cBLNj
ou4F/GvCSFR5mHXXnGbscfifSbtdFzOfG1zRSCMeVn31Vg+b+Q0XqernvGnOY5Qqpz6ytJ0ucd9Z
1B+VVKeU2TYLGzto1IZHi2iL4f1COGzFvofbkLZjjDtO+OpkPVY1J3J3EKimk0Ql9+2KqIVF5+eu
G9WQ936heJqBEcYISSMVZoZeauXTcdFicZYwnbdharlPVVURe8wScCd2/KaH+rMrlnnDsUy9S+Ss
7jVKmmzCLPg/ontqSTl0gjrw9ISeXIwg/hhyLF8MpQcQOWZBQ87Lt5YU7FlT36JG5kHZLF+SyOkc
L1az2XPCaDyESsQ+QVFv5Txse1lF+1TBHFq59bRbMn5sRLb8sRWKXXB7mhSQOW21HbRKf+tGijAq
3Goc9LZNHekPplm7+O6ytjyU9tjdDEqtv3Hfdg5JMZEvEmStJIGATRwPvEImp7SrMM96zdPDen6s
hJOfuSEtByFxa7GMe22rqSM7ScRoQoT1yQ+RsFPjM9rvLuYDwCvwMfZeFGFgzDlBX3WFc8hH7TEr
YuA9oSj9yGmPRusgmLOgDMJMcS5RmH2EZGT8BW+8DYzkjUxy/Tkd9PG6NojReNSmskLpoTklcyrP
EOrzg1Vo7V53kiyopmV6+ZZAYxrikVU3pck3t3gDoRXJdVmo5M9ialR03MW41ZcUz2vOahqEAT4u
0BQ00lKNsbFKri8hLfkFQI1ynTWclbqu9LPWTp/M2Cz3OFOr3G/afGD6lYafGtw9cqfJd8NiG+dc
T6bG0+tlvC46R9lDvbT8prHfbaETBVtrTwMSBOnBSR37Ie8Il5VmQgZHM2bfHudkr2WGhh3VjWHd
VNWpkgMlbb1pXhOEzvaxEkWfHHNTRAl9SzNhwm6M5aPgzhWQ13UooZrzB92JhG8SDCQvyPn53mhw
4k5F8dxT4vRJjlZ8ZbXW8tzhxUfbmxKIBG17NYi632ZFypU32+neyDDB59QjBXx4fi2zTmOT1mZb
Kwq7A5+P02GEtOmtmSDbOhETZ4seaHk3/O+Q//E/GfKFC2Hkh6noX8TwC72hPw3337/jh8oPneUI
NlXTooXXZSb8x4Av0MJX+4+JUgf2wfznfG//BsrCBhXgqjQRrUP8H/O9/hv8DdtkfAVTamicQP6G
FM5D/DwtrqM3zH4uyrVR4lcyw+yi3vezsuyrkHXXxpyh2l3/8Gz8NzPivz4EJxvaCOgp4VdG2f95
QgynIVcizV1YX5IpWfjImUvPsXhK/2wS/atHWf/9hzm0DV2Jk5FHsctPnfKpkh+9+fs66KeOzH8P
iF3PDj//Ievk/cND2ElllMylHFOWW1u9nZOgWT7/+V8hmNF/fUUcjoIGLc0aVwZejF+eri5XkMfX
Fldo/O0772l12iTACbCo8tAmfLs7hNZw5aCGRKrVYSs7XW6slJvYLMdpl3ATedLiRRd+snRp0Pb2
LRG50SSqxwbdbcl0VhS1B3pPrFiMYXifkC2mr7IY0oc5c2juTe301FkcwRxY6WhgKKtOx2ZAEKfH
fov7mw8SxRVAVllak+uBI501dLtZSVudrBZXR4y98KQ6i/WqwAoQXmzO8QXvoXUCXDf7i6p0mxhC
LYNGMUik1z4PliEbzoNbLI9Jz3/GdYyZ1W7eLY5KxzAp9I2jNGPQ2UuxM7TubBDVeZTlbNxCfBU7
ZbDzTaW36cEoVGAegzC25LtwqstaXBw1gx2t43CXmhzvdLvnhwA5O9tYnDeUAWpkzudOXJjEeD+k
Ll3o1L/dhuk4vbs9sue4YGv0rZCgnz2mPF6yfEylFb7ELKlh3bj58kia2dRRIcVH20owr2T8+69K
Y+A1kHABnlwNsuRWWr1xO44qP2h9gk1DXKrZ1Hqv6NdFyGxaQQFvjxbNUOeYarAiCrFn1D6/H9M/
YpA/5KlyBVztg/ig4U1zP3yh6PjRWLQPF7Dtq9RMWqgGJXnBW5Ue1LnhKWnhme3KyfhY6ODjxDU1
C1FBlVB6XvMimOFC/kTl5xWS3wOWRXYkdt89JVhG8eA09qlwhvhSg5vY6GYrdkOHUX/KtfQQlTqe
2rZutxOKxo6uj4Wwv2VFvktfIGeAWWW0yJ0IHKah7Rdh8QDasn4up/1uKhy8smY6MsQtwz3d6Hxx
67L5ztApb6FMV4Aew+wIeQqJUKmGzYhkf+24PJ1eo4swKNpaC7DW2Vc9Nqb0kGpWsSWNQGxdoq+G
pNVDcWcMYXQ7r+xKkJ4ZCQE6vq41yo8wn0ZAc402/Ew7IqsIqSnhlTa5YDyy2LYHDAfl4LElNK5J
dGnBCkvz8R8Yx7lum3NDTesdrXBryLy2bkIqxHfga/UbSoOi82SYT5xzlluY1h06tjmqBCIaSzs0
bY8SPMicCBhugM89arPHoFn1ng6ndEcq2PlqpJnzlWRu73cosafWFu7nmMP4Jhoagw9/pBsk2t71
wspdn4+QKFQgFvkFGy/PZDfKfBNHNYcCtid7OgW1cx5FxoOKJogVwEEOhsModo5dtjtzMqYXh/TJ
J/od41u1aNT9mGgkP42BYFxiJyOVTMRi3wUslmNTDMXVoMuJbL5eXsohcq+lWPSH3GXQYXBzFPJq
tPuSDp5vdMoWt1HdOjdp0pZvc2xOt5gn5I0EmXIlu8Y6C2nPFwxx5omsX7kTjUnkae6t+3rWnaBf
5oUVi+KMzFYaD9CI9eaVa2F/2y60j3prfMf2yBOaATneajuGk/rVwNdG7DyvSG+1Y0qjp0WIZuQm
lCkFMJ5QmIFEoWKtWHe7nmB1EXQ16gyfKsaGSRj2/sTJwcNUFz+A4WBZHI0sYHnTEAxIXTvETFQu
R37b6EET1XKcs7nBFqExBJth0vipBcfTMyH5HYgXm9sqZQC2DQ7XZueSKqE7eVOrkbJrY1Jr/AFE
J7FcpYRrXZXE+9y2B6VVc/4Mej5hzIfKhlQIIT5NzV2OOj3Pg6wWthGlI2/KvKUKt+l7bmNjdptD
bdgBAJn9nrvApyRx8eeMNrwFlnwfNsGkrRY55kkrRbmbqoTaType6rcuq8Tn3i47ohNuguXfHXJU
FtYErlCz47cv10rLvC9AVRxmiWnUW0x7up6WVF53ztxvRgdC/4Zr+NvS1oHhERWt9+0hqRvODM/q
jNGnOJdGeOC06meiid2zLfsuGM2YL4VXp2ySxJovZU06l4JX7c4oZfhK1LN6GpOigAs8lDvTXMJN
sgh1Ff/RXYisg+Ae8BxWwxuKaX+AveXgHQFHGThhpu7pGoCJgCPmyu3x8HtlbCqbVrjJxcrkSKS6
j1xvJhy1rxR31qhrFfqhZTcD8cMZi2PaCZl5NvHDIcDTuez7knocj8DfsnfxrdyTg1Zf+m5cbhOj
46WDYZD4Zs1JzZ4IxWKHH3jYJJvCIxgWjj3tQIDZbpQHgnvTRISCl97RF3Gu8JbiX9XjL67gq7M8
te6L1jJPoag4altdF2gNyXLe/YqzYxptD3jWsqfJpbO7LBvr3m0sZWOyivSdvi93UYafq10/7JAI
CRpBsLmZLBxKuhhdRLxO9+LQkjc6Uck3UTT5pqy5wDFAZMeFK9qHbdFvCkMtP1I+ww9ap3YPXWYt
T1xI0Y3FKYk8xeDel2kx+pZBt2TS1uXOaXXrpWcg7bFbaOE5nwjj+B2UhR2VyfKm77PldlHU8WMs
Q+WxsOuQtH6Pa81RrO+vU9bL8Ous8stKfJ1bDqriykxy5YFTLDcZPZuPaa4N6GwyeQUH4EAtGeVW
UQfzWR9m43lsFeM5Nev5ik8qaxs3sQI9KFECBWD03g7DapV02rsqJj9Ki2KxwUkhr749671ZEJgi
I3KtrUvDsqz44OvSk9kiOzVVzCZ3YNtdcSFuJZusk92QkirX7udi7nV2+AWs81Y1eBOTaSLLPefX
oSMifLgxRb3frmWQNMutqxgOc4VjnBbWOFd2V4ZQvGx80AZbeM+EN3xNzqM4WLO0SOiE444iBaIe
q0kzUBeDl39plgu5oOWyGiJQ81wd6hmZD26BQtzFSvK5zWYyUnEzH7Q6LK+h5S5BUpmsjOaunp9A
BZumR3FAugGM3G1tMC5nEhGkZTM7vWaZp2wHXcuOxlCYp5QM3o2wJ4XG51peN3bHR7cdl/3OpqyY
OC/cjCzQRIvuixpDB5jMxwOtuaBngSfUl6nPS+GXwPsfBvzXW8K/gD6S0u5OwtD66yai7bUdyPlH
cb5cKH6vj01oTVscysqMEaRUHjoVPoiP+4SJmWSelyNp+WrU8dYkEZt6S7fSopyx0b2G+MyuF2X+
pA5cTvBuGKvdRHxWI2O+GEXTBcY0qZ9ZymqDJ5NKp1mvC4+sIvtNIkztCGB3uW0z2z5aEx47p59b
VuIaPjp9HmuCeK41SlZ1NJtjIdYXVEPJe17RIX4Q6bTkg6E0yBIgkcYzwIfUX0vQbzjV45Colibc
d5gUdslKtMK9bO2mBkAZf9G1HUuN0BpUK8BopH6HpLjXZNaCvkhLbJCxsuvNqm/xIs7ap7mc16xv
2dzreBWISCbKKQrHm6Gm6YjNYuxPqfLhNL29FUb5og+4Zmh1C8/8GRmW04o7pwnpeOs47YS3M9J2
YZiQJmUugZVitgN2a9XeMCHGxxoKr0+G+UarwQLgpy7e6bl67xbzGn6AvtXkhMqri+bgxCxV7SV5
mCoARGhS0Z671Y4nAn68imeapqIWS7bzgp5PGiZddcdkhWM5E1IfqI0+UJ1egUBAG2xuQ5D6Dsca
6Mnjjl0SbAVLUcYRxTcRnuYkB0ZU0cmzW5Y0/hQNo7n/Tska5LjBoPozJYv45ClOrfqmLLP6BdIJ
4AJtLl47pR7e6xHMKd5VeLy5U7PAGOflqCVutsNSMeyVmAxhULEmuTEcEm4pKdD7OkqyzVgM9uxL
ufYnQ3mG9tOGVN3G9Nhi/NmOTcaRXM2TY5SKmQx133x226XAS6zo+yVbyebBVEX6VG+dASTUqSs/
M96LVwzDzkVQwqD6rWZWxBtSNEENBfYmXObq0M/UYUOu6La9g0NcKwrwHtR1xiTvWl7FQIbmZyM2
mtVcusw400FulWaPwokZ9pVoGvFoCqG1q/9i7zy248aybfsvt48a8Ado3E4gDCLovagOBiVK8ObA
A1//JpSZd4jBKPKp2tWoalRW8gTcMXuvNdfkuO1zmkXikCLnecJOR21XFp3xqC4rpK3lFdwlJ/LH
oujOIiwjFzAA2ie4wpY/tnI4ZFbYnw3KlH4H4IIJGC/fwixqg+teVPlr3gjV60kL+h3EpaW6eQ7W
jna6wgEbmUFhctZt0IBPSms+GIUAEhxYGnXxvo8g80w/0l44X/RSFBvVnR0vDLN5azVZglcSTyh7
vJmlEEZCt+pQQADXrpnJkizxgU6B0rOFyuNltT1MnCrWZWTMqwEuTNhU87qJ83sli9ESIakNmeVX
FG4ISXAnDsVa9YQq3yAZI6PAp5pCdjj23XZXujaOqzQvz9s50/eErbOVIsGUjBBo/ykOecU3qC3n
PsclW/kxtRm6IDzIe62zncdWQQDGudPZcYoZVroSBw+ZobTnLIrZNVvF5AXidPmQyFR+qbpqFIAP
SNfBVSdxTPTlIkdAQqRzmGqLG9PQhsJrynj8mtY24scOjNOh17sf4eAMuPGdpSzvFGcGO9vvRUU9
dQoWF6GSXs5ln9GmM5Rs16ZEJwww085hU6HZd2XVXpq6E14mbIZWGFaSZgMKUV7UoR148Ob1W77/
17YAdtKxpqEAEyjbjaCdgTQ13TWMF84dYRY9jog9WLiEhtI/D24avJjfDKX6amIR+GpO492MrNPc
Chv9tlLQBUnkzMxe0aDgU8vu6MoOrRdFsr611GyRb5OtZEedup37vqPuHpm+gnR5F0W2ONdTFGWr
tO7EPkKAgRFBD79ZE52rgpmQRqYSbp1wFPccdVhPQjf/GuTIdKrQfaIiPZypIFZ3/JW/4WFmbL6K
zKmv+rKdvoVz0G9JWnKQioJDunDdedj1teCOlQ5UszAZIZ+43BQjEE+ij8z7uEflnHQU2vXaxTVe
sKeaItvdWoq1awHaXXMGeWRCTq/GarYPEtzXqh1ae1NlRfBSuunsZfXg+NjnCdhBe4iEn+7PSq/Z
3Y4NBm3M38VtQYwtO1zlJs8XfIIz5TcB1q1rIdVwDV5Jv0Qgb/zUwoKE+4Qo9LqLw0NQRN0VoSzR
eWal1p1ZJTisPejeSvecFAooRXwfhC8mm77CRAV8Sb3Bp2/72VB1Xtmm5W7qjQyaBiYMrErVxnV7
aJBZdx92SIlAodkHIyynXTvUXyPcR34SRqxYbAQPTKSKn0NcOWcrJw6DmYeXTShT9r9l8bNrkz5e
Z231zZBJ9dw4LSiNVSij9Fv5q3WpVV2AASBI1lRLBl62Rr/vdBClHukdlnsZZ4SFENcnkdIbdYkF
RhbjzNEsqt3LYqqz+yInwhtXiruL4iZcV5Sw7m29+TGOmN/Vma1KLY2aNMnhO3CY/GBlJPCxqeKQ
JHui7TVSI7BkaxuOE76i68mB79/6InL7MQ/ZGwMiC312hRmBP873hhSMNfqowENxfK1Pw+B3o/0i
OIKMyXxu1eoNeyibyhllIqVztO8Yz4cz0qSMjS1hwqlpUV9h9PV73Pc/I9uwoGgo+k0zuj8liLLH
kE/vQf/VH7dwYcQrtx6DdeOgIQATWe5Ud+w2eixpy7UhSrKCCsDHhdD3VVByGoW1MHxhO+vHRGR7
zPQCmEzt0zuXq16hGBdXJe+k3HEez3cfj/aueOwso7maoTpgz+xjG64YrZF9kqj9qVzofQ3/Fedi
3GRhlf3VRvn/LyIzlKYbiBItZBpMfW+LyGpjV5QfNS4MMMP9mJgsGUmvXagt+sCPr+q9NGMZSiDA
N+ENg+h5OxSAHawqBkMVddGdQ8tLfbsm3zbg5V1QXfmu7Hm5Ph701K3UNQPXqWNaC5z87aBWHGg6
rMfGn1Luog5ddWXXlOw4k5qfXN87LQ+3kg8a9ZBAOGUea5NIQIJOBl/Nz6cICU9GMhKTm5Ps8c+N
5FzW8rqaNCqI2RxddBmWsY8vdanEv9FGLeMbeBxcbLz0aI4q9VNoVrSMw8Z3iOqiackF2nJ4+HiQ
5X04HsQAeuRAOqdXJPS393PUWC5alx5rizORmkHELiIURnCZ6ersz5M+0vd3x02JmGb78dCn3h/s
EZaOlx7K7dIF+73f4VrmqIW6gdF1SCdoOgjjqatQCBbghWmvhuzApgj2xsfDnvr0DROD9KIL0/Ev
vx3WaGBNiZhhoQdnBy3vH8jhmP3Q5q11Be/vx8OdemEN5hjM96jctGNFWAh8UFOcieGa1rqXutxx
+B83MhDqJ7PMMTx/cdWgc7PQNdDcw4p8fEPn+e9nac/d8L359W4S+/ZKEhstckwKuDFAINvOrL5E
wVJMwl71H7y0i9aOEGCDJNJ3H40w2nkIVXr2IjRvLKT9F1XIFPvnN5VHuLSvVBqfxzEB5hiYnYmS
7q9ZoEfU7JkuoCBchdUnz+/UV2hiKSK9mqq8uzRRf39LcZkDD8sGJtRB0vgeyq+2U379+HI+G+No
UoutVrdZqAG06i0OoHqHoOvm4yFOvhy8f2DKeRUtzE5vrwN0tzPUelv7FXvXi7BT9QPoWxpl/RB/
iQASb2TRL8YG2iyVEQLhDLD6fPwj3n968PKxbRHyoLqULo5mNNOqkOKXrvRDDRFzW7a2N2ipPIf1
Lvdp5Rbrj8d7f18ZD6mqyz4KAeLxtyc5VjkTKQzorUY2KPZ0gzhefLKVeP+BG/TQEaFT2gXqoR3N
oG6otejbM+nHLUr0pipjr6z6cwHe85NX8cRIXIRjkaeOutMUR6+J28TxPE1O6TO1wRJTmjOcUvdV
nTx+fNtOPCZNoLrUeFbMXL/cbb81ou0qT4mPATUNDw7f/AviJ3B+hRfL4PDxSPr7NdZ4M9TRdoUa
lR3kNkN1vUvhvgDqixXrL1dMtyHoe34A4Jfv8PUF9VqapFartQyebY6sm5a0AbKCRLHTG8poSCsp
gOfmnB4sJ6kOrYEBLyRB5CLIOAeaEqwwKYLKhnMV7nwdm9aB0J3xcoCOvivIFyN8norjarCRd318
ocA1jtdZVnD6eiofgGagDn77+WXZrBhu0XFPm6h9csEsXmq9czvZdvySz504dBnCrjoLnusxDclf
BDeWjvbetvNNbNGZ1YDyeHr3kAccjFpAlUWZ31aDczEH4NfzMpWbJe9rBS1RAJdLDH1FDlK/qntd
HBT0Zd5olqZPb3tYt62jk5qUJmtKeOIcGbTFA3YDjA1ltHbDwUPqOOLnKTOXu6WDEoRgoH4T4C4+
WbROvGu6iw4BBQuiQLIs396XIO8Jr6wn7kuiNHBDXWPPUyc5PKmTcoV3cPA/fhLvNzzE8BLbbZku
spd3sbCyNPt+qPLSdx2ki9Rb843EzXVuG1W7Q1XYnkeUXu/N2A3PPh75xOfLbk4lIhctzvszRx1O
vRJ1doHka5q+9Nhqvkr6PfeWZic/Ph7qxEUi8FgQQ47Ff463jvRFOW9OXeHnfU1XpNdo4tEJwrGW
FPUeTnfseA0N9mkBQLh/Pk2xrzJseuGcDNCZvH2kAkMOZaei8JsAzgGRwPfhGCL1SKb6k/Xk/R01
l0lKEyiM8AMfy92pATVhqSWZT8LH0zQVw1p3oMLUmWH88WvKdgPBFMIoTh/qseq9akqCUYCvoSvo
BigAFF6N5GoYLHtL4en146d36rIMLkwnuJgu8vGyFcZZVZiZ5LJIDfIVAg/IM4NK5i05cM0n9/D9
B2iqIHxYuDSLhvbx8iXRhkR2l3NlinkfGcoToPbXZDTuw8H+ZA+yfMtvzxoMxbHU5tJYXqyjlTI3
CBgsFIQYRpVtDGqlLprMlcj6eTUX/YEy5We70dMjumxFsUTw0R0vL2YlnHIZUWr9IXWrFxjh9wYE
CIygdobzVP+z5CO24ChBATP92nUw4nK3f1s6rYZzRxuI1Fe67gBexjfN9Ar+2ifDvN/YLMNwNMQw
we7juKDQO+oYx/xpv1d05V4RhbmvRlbEj9/D97MIo2iLDwibD0Seow8ZKBgBQAl61NqgokWlxyMK
56cobJTNLQ117OV4qD+ZJfX3KyWjMnEIC5sJs+XRqEEO855jX+q7IBPhr7iU4YoqnS+QbSuk9NLE
biYXCrtSmvj8xOxWtL1UsQO4Hu4z+sjbgW3RPFny1iXNYh1WFZuDZVsgS906QxZnP7g68ZohyLdP
fv3JB0OcL2+c5rjm8YNBkhBldDYyn+p0sUlIRTkoI3XOjx/MqQkCUudSUsKI827LmZuSZSQsM79o
RbYqy95XU+3eEe1nu5YTHyzZYextmYdszrBHb7PIANmijvb1sTIQsgTRfrQBi398NadmIGhklOGw
E1HsWO7pb98MeCFCLTolRTzU4IYRLFOj1bWbpsm+9Yn557tozozIRFkyFtfZ8QnVaWO7R3CVcnYM
Xpd7V8f2TV4HTx9f1amPx+FrF0hyT/ikxiYttBlTik/8kHOdThottsB6pdlSbuvQcr4PWZXsqRY2
nyxVp+a8xevHvpos+HeHHkqnKpzKPvXDUL8ifP1lTsJtlTwSLHfHdP3JaKdeeI49Oi87J8t3RbKM
axR21aR+FVbpLrctcTPoibL++GZqp94R3g6Buw3mHPKlt++I2+ko5Cm5+043qI+kRpVbBcXxigSV
PqM3JwZ8Kw4+tLLtr+RUpJdWJuCsOWg656kiliNMqrUmg26TDQ56jK5LPjvdHkcF/pr8HST+y5dp
WOx/3v7IOmhUC/09q81o0iZo5YvWuqWHqqzZx8J56qD1eAQw0cQojPgxHUhUCtzya4SiAyhbi1s9
N/dUkdyVDVl+5UZcx8c38sR9pKfNFlQIg+Li8YKYCX4DxpbSH4oZELXWbtUKMWWQoV+ZXj4e68SL
uNAJl33FEkh3vI3RgXepJuxVfw60V5WCwzq31Bega4UvgExsloSQT3YYJz46jM2azY6GFetdWb+v
s2kkjovLS6wvURwqHhikjD5GvaB0J/kga1IjUGP0/p9fK55Ld6lIsUE8ninNBctWO03pc1a7lDYI
XCJTbqjGEzmQho8TGIM/37f9MnmagvjmBfD59mXjWxnaxpSlr5AE7IHLQJVQGO3NgOHQzwl3+2S8
E2sO47GHWsg2bBaPvsAcXnmEVaXE2UpQRWbWw1qVpYTdbIn/ZCiX4E0HxzJ1/qMFoYJB0OYFRzTN
LYtrK5PQxUVrn8Wdpn0yfZ16R5d8z8WHsFT6j7akPZK4ArIkZ5W8u++i8gcgaQw7PL84lDcA8Ns/
PhwxgWG60C1Np31y/AFqI702nRRGf9ZnNH5iuK0BkGHEtD8Z6MTETEkdC/KCfcXGsTzP31bVah5Q
gAUcAbPQegrHcefM8v7jl94y+BtHG/o3Yxy9E66SpIkJF8tH0K+tzDiuDo3VWLd6h487yHCRxaE6
rKwBXDfhNuFDOdTA8WGe7zoHWN2gdaghi5hOrzmigDM0bTM4U+bHRlsfZtOMbnQ3HL1i6oPnoFKL
Xd4gzuJ0O3nIYIN9ZOHqnoljvLa0JfwtoX1/S/4TYqtCa1JQhM0SQiMDQD9IR6+STGV3WMYxVHI4
hNEooh2M/GmfWUg0eyPKL3ql7n0nde/jMm087jCOUWpFgJIQCvqIE/MVTrRqE8DVRyycQiQ0jdgb
YgxVH9/eU+8mq7jQeE8WzurRu2nLRuKF491EJvwix/bFiaor01AwAZcEIBBy/fF4p75w9txs9ijf
0xA6Gs+KpgJ8z1T4rYyWmtMlIIj90BafbF7fl/wwyNM1pPBHjeCdG98cyYqpAUn5iMhvqiomj29w
vsv0gSb0BYIUr7N02JbFJ0cm4/S4VGm5oxyuj88VbpXLHFYSNZFymsFVkhrj1ORlYXRRsw2aGc44
kmj3TZv2cp0ViAShnDCRSwCmFip/KxmUvaF2ylZrTRyoCEN54aod/U462G7yzdJ6DuojUsBUzOHa
bTWgW72Y16EW3OH4azxntuQqbRMzXbVzFW4Sfs8asD7GSKFdJ84CwBkHucXRxf+ez5YXNW2yEYrQ
HwGnf/YoTj1x2+Adc2nD8UCWW/bbHBGrEFWLtC98tX2Z6C6tpkHdpVrbf/JmnZqLfhvneGPUV32e
le5Q+I5FNmZBvcHLo2jz8et7amtjGwCvLZ1+G0iJtxejSr0qpVkXPk0nMkctsghU/YkcdTT1zfSJ
6ezkYAvYjY0v7rbjQ4RdMxkV5JOhv7NzTqLzrjerLQpQtNRt/MntOzUR2JT9WS2w7L3b/GbTZNgJ
Kiq/TuobvREgWYLpCfzvjzZGsxDZn9xJ7dR7sfS8OcAiIRDHfZq5qTLuL/u0ZMwiXF46RNy5HvbE
Hpjr0lAi36xk65F/bNzGahD5U4ipIQSXf+GETrp1S3N6EFiCsGcEIWkrHz/pkz+PCZEyEvVb93hi
hGvWKGnENmeQ1Q/DDR8jvb/LCI75T8b5izqBaOPd5qDpSTut0OP5nEQrqjkAvSeFDLmu/mQhPbVt
pTiFaENd/kscfYcGOR1WgPbSb/GMRA0S16G4qUvrAHP6KivlfZ65nxQqTr3Avw15vGFNZhNetaXm
PqEzu7Arf8CCRdxOCErZf3LmME69v5xIaZKxfeQsfHQuagcHz/kocqYZffraRsR6xKSV9ZnmeJRv
YS5XSuxBSi42sVy8Boq2KDNrRH9u3zyZFFWeAukQZaPjWMDVhs8oauu7cHZLsmKgz8H/crajGJxH
x2LWhIMEQDZXmnE9p0tps9R/qoOOnaV04ByoX5Oyu0SKU21Id/tBhjvkj8mIN7DH9LsK0TWLPQEB
H7+1p+6Cuzh1KXHw3h43YDPCyRpyS9j5gd+e21lbtar5ZFXWGTXTpzaehk8GPPWIF2cWQhlBsfX4
tleJFpJ2yGcSQ9RGF9fV1Xbm9Ls2wiAD0rVo0j++xF/aiaMNIYoZnQvkc+GYefSkQ3CFdEmz3Lfz
2fWiobPvzEjrvQJY8FlEhN9jpefOOjFRTv6yCzgRuLO8m9sNAWvuThkGlOsf/6gT953NxmKBdjEG
vjvyuvbk5K1uZD6JfeYmqif7oojYNk5ESjxBPp99dJHfPh7zKB8eL69jokqAsrDM2uLd2TccrbkC
3MfUMQdIWRdgPIJUY0u4arNzSTxc8aagnLSyDYh0QOX0ZHBemH+js/6tHMw4MVcuvnDkGBBUabTp
R6si0gg7b+Mc33Ji0BpZfA2xkc03aKvJnObOiD3wcesMixXQjYwisqYATAOgEvXXgzGo2wkA+5fI
ZOMNAln9wrYYDMTAK4VjKt0i6rN2SPJ/TIixmbL7jWknEfBzxVzXStH6kS3FZow6sXbCM71MjTty
AcYrPltMaIDj5qfI6dwDCW/PgPjTTw7mp66fDhgedGhV3NflI/lti0O5Lcma1uD6s3S8i5Cl+YAf
4qdYU6Ltxw/91FAIr9Ea4EZn2TjagNB0khKAUO67pRGB7HAWN99YpQc3Av/z8Vi/ntvxl7ZUfw1O
ryyDx8f/QrGzbshjDge9RUpeS8MYs9dsaruA5PU1aefamQaS5bod9eFS15XwRm8V14M4V+2qQq33
v37Qf1nGnzPalm/u/1AC7/ANlz/6l1cqZ3/BIPav//s/qO2Wf+WfnA+NnA8klBQFQJNxnOYN/Zvf
oC1T9j/BHvq/kLIYBLro5i+cA3uEf+DFFv+IbxwBH1EgKFHsPyE2IBblk/jt1aLfg+LRpjphgGwg
kebok4lac+xZqIwLETTiccJaDPFdU+qVNZPGNIEnXGBB5cEm601blZrsN+rMzndg5t+hkZfnVqB2
+hdMD+kl0Z91dCbHnkRAvYLiuO4AhT8avdljHAfQ1YZ0eaIKoaHn9kQ0ryp0GVhlo6LfEcCl3XZG
Uz4XfdBfzbUbIItGfE+GwVyLGStiPWzjnEaYqJMcB3aK0l5g5t3ZLj9xVYFlTHFjlNDmlckYrwlX
ElR/icMKfWbLGUkzSUZAaLLFfzql6asUirwi67vPV8OQj1c49eAhEb/JtedE1FFkgBMs9uVUm8RD
aDA3dw1MFHgHjVXphw4O8bWMLNxuIWJmbPv5NCoHhx9Y4mKaQVuWMs+NG91BcOyaSXg7JylF6wz4
TiKydj1EOYDyoCn7XUK9xMf3X+DuNUvCP2O0fNc1thqo6WY9ttWFkeoPbVW1Yq7WQ6CWrfTxGsfd
Lie1zxA7Bw8fepI6VmcV/XZeF8S44t+9NKAccMYFY6/szUYrO4D/qNbRdS/yIvjTBJ4p2fjEYcBs
jNs+xS1WU6cgBg8Vbo9XUfaE7LFqxVj9qzKsscM7hKisuqXYFnpwMZOArIdJwSJdatjSLWZikktk
14v2vFGVHiqoVBf5j9oMWnCm11EWoPJp+uXFgQo4j4k1b5URhegqze0h6w9t23UV4pkpT1qDLOim
6Yc5X6WDPjTal5BQFn1+HuMlO/q1xZ6c46AmrC8L/io1/3fC+2TCY1Ja5CT/fsIDRF+H8ZsZ7+9/
5x94u/ovuuQk7IhF4YCukuPQ3zOeY/3LVl20AUxAhr0ceP9vAlymzH8mPPVfxiKCQ/FBu4Xm9J/M
d466nK5+m+/oNANq548x8VEotexlXf9ti+AigwRz5WRgpsLnIY3wUmJK31Aj+8Iye1f3ik9YgPzi
5NoXzBCkn4iJbQ+v4iSczaxIfW8M+bRv8NWtCm2w9rSds109qdWayQS1Vu/WpNj0NsYu4cD2a1SC
KLPqK7O6eqvo5HbPCu4KIxtmr3Ji6MYArTZdKG6xljjXwxyvAYnkZ8UQD/w1AA7GINF7YeVYMz/j
/GhrT/b51dRwbKlaEwR8Nu5rxF43VhNY61IMwtOmobtfnIPeAmXfR3FUYc7SbkAaWzvQ2U+2mccr
jlgZYbJZdNGqsXaWGPwmVSVGQbObemMptryGJrohl/URtC3f+jiT+m1bfi76l7LT6OAa/bCuzWr8
FheIqNKBAoDhEvhUZdImYn5AVGjWYjeQM+kNZkY3wTBeWzQnW7MDMo+gBj2/6F70fho8pe0PiZsS
chPLYZ3MRbyb2wIytaCmG4niFgftts2m7VwqV8FCKO8UOfqVAcxsFKV261Z69qXtrerJ6pNt7g43
tL3yW+KBnXMoBDXMDUekqUeqJ2FRRjhsdKdXPQkr8Es3l/FNakTm3miUFrAwOlJmyb6+k4ZCTY9K
55mZTiS+KrlVIyiw5TmJkPFlXWbDl8DVm1cXE8rjmBuYOtEQYf0rhXMe9S5Q/iE197LLnBsxML8R
pEg2YaZjFm0Np3oWcUKlB6R39lhARz0DCezuVFAil2YBhwJXT1amhBJX9bmQurOu4oVSErt6Bwyn
k3LV6FVxqJsgwD9WqsVBKnNHarZTCKKDM0JUoJLm8aVKkiTJyIa21clt/yr0XrGxaGJktfQ4eEz0
rLwjyjDfjHlc3mngGi4NUBJn5pC45zQWkq9VFUAacDURkypLGhWhjsiJW5X1drL6+LJr05CoxdAk
+DAm9m+GD+4Tc7TQ6OJ+IgaRMHmpGnAfYFx/qzth7BXD6BIvbBAsh3XJ/we40DU3UPF6YkLnFRFo
2j0VjOIwtvxJoXdTt1Yx+l/r6KcerS7gKGE1PRcvIancCqKvY2SS6nib2l151pSWnSJf4TlUTsYf
1NoxkhsAksVmwrO5HiHlPEd8f7vYRkqwGsfOWQdj3NgrUrc5yGpFfDmxVr3GkrwjrTOqH6R5jtdB
V1a48PhlCQm+DgBPjT+foX28CWeieGIynm3PCCLnxhx5B/FH5j8z6BYHIs67+yYhdKW0l4YQrKNp
zdllup06q30QI/DPLCOhaW/1TCJr4CMTftNm2SeYyddfb1pitYyGX5CNkDYhd4nHAQ2n6ZZXQ4WU
ZhWFSedZs8weTXfQiSNT4nLT5qa4qa3Q3JdpMN5q41CuAWjqnh52wuSMwUPtOrM4KDlyUxB/mIKz
IW9fwc3El4Va2lcUgKYziTvnNlAT53aA4b2JeCPTFQby4CsiT4JxARvQeiHN4qD0DiMKOvXbLIyU
O3zo/W62k/JOhpLU+qwlBG55WvmQl3dxODUoFtOAfhzlacpGCXduEqZ1ThnBJEfZIX53bYf8eTaN
oSeykbee7cMqdpxn6vyTpxPn6TXJfNkU0WUvp+tOae57CQG2t8qv5M1BXrUnz3Uu9La7UofwOuoX
ylMb+XlS/7QG98w1SmTrnKIKXdyCxdoafbRr7fkxrBt7bamjcw6QiIkusDZpgye6mkrP0QlpBbtp
dSvdKLudRjzNLQbGB1z32qXdM4enmoP3UVSGpyHl8uJ8uoxHdz2MyRoN5QHDcXCtEQl9pY1EJzhl
CBsBFUO0s8s0WTlub27ILsvZ+cL1As5fea2Tymit1NprQf+sl/oP1P3lGTHd1Vkyd82m0HNtb+jW
91prYXhbNyyTMP/7zriC8hE8g1T70igO0aZQQ+eiybdkdsKPmkhhUnJjWpPohWBZJyfBq2y7vGPT
Z+LnTuZXUGCePkO5t2Y84FU7AujoSD0Q6c5I2siDosIDjm1tO8ouIEN1Ss9TW3uwJxWjPmjadJzy
vYrqBJWCTDHfd9VmLNIF+dgdqpCYZ6Usn6VK7NtYlOr5lKriQC5evEvwt6wtmoUqPBFPydH5adNP
Y6puq9gRP2JdxL45SPWrsJVyraXpfas1ycs0KcaGb51+pSEdT+0K0ksatz2wv8VA188z8wFCE1TJ
YM9WFoJb0tjWuhvcybx5JdE82KiFM12OUY1j1QiBP3tFq6sTWIu62xD3UpyDqr2ks5ze8FqRQmcH
2rUxT+Zm0Lui9PIOdxlb7GpNLl9PcU6vfjQWYRVzru8n5N3gJquXLivx+zqNu060/guhKr2nlqz2
LqDbnWJ331VTfZYR1M9JBg+QK6YVrJIeO/GQ0mO1lIvatB4Cons9m89wlcRF+AVhbuMV5OC2muqc
D04XbtgkOK+msPpbErG1B0BDyx4C1J/XmPaEtCUYrFWvB86IqTd5SASHB7MxCQENRPKjrevs4NY5
kKSwgWXcAy5mTR+2acO/GyLJoeyjXoogKW84KozrMJLsrCBErYaqdi4rvN1fC8yFXwe0FpewzEoP
Yc20Ai03rzO+ImbyNu4E4RXYioMU4NSKRLTwvB/blAg9EKQjTZ/ZJhOA9BcnlLnKJxE+wkBSrmyt
drzU0EfJQ4RJG9Qh5dE06c6FVZu8MQWu5VJymFuZ88AyiCr+ssScejCX9mBAk3ATwId4dGXc3g7p
HAMuaWRB7LVbKJctlKM9O4V0p6ml3MRjFnjZYJVL7XH8WeS6fgWxq30YyOrxq0jIJ1u25SpjLiT5
2MVzLIiOUcwq9lQB+jlnF5b3vXJQSyYwXN8SmKLVeFXdgheAfbYlXtzhZ2VyN5nZN9GAVmrqYLhK
bUW9qIOi3mZGWe+kHiHaHFJ8vQCFxzLZmoqyC/XQ9kgKek5qvMfrpEBPRQuy9nAN4+aPmmwLgqf1
yjo1dzOYlzGOpl1dKiwDHRVNizyx6zllj5f2ZcPK1TtXE1apO4lv3neMVHk2WvdSI6f8xyBoo0p7
arcgzEJSBInLILxs4ULEMYUBjNiLsofYFvWWFbS8KgRy7srtJnp5pG0b1bgbabCuoZzcTTQDL8dY
p47uOKSOFdrOHuLGyzT4JH0Z/iBPfGe0LHm9LLNNT4N+MyIVOCCHB2WSNMF+kME5Oo9b4CLWWgRY
O6eZDOAgcSK3XYOwSLWNbcy3bsrsqp2JTrHjfpOQkKlVuzQfkvCGzpxc8wk3EL+5YJMCBszikCWB
k60K9kINp5w8cYRJ+5H9L/5ptiqpB9EotTZTk/Tr0SEQZ4Vi0cxZXVyrL9Y5mWQ66WR9NH2P0PL3
WD8NhCMkwuRPY27eKIC2yX5yQQWb3XAH8HbeaNPcXIYJyXdJb5kXrTV/kTNdjbmyb4F8K14yt+0t
3naiVghHBp1TWd+aEUhMQnzeN63R2oshF8o21vofuBX0zWDp/YVDuOpaOMI8mCOnn5UVNdcuSL7z
QdjyNmSrstGDzlhPCnHwzgLogPP4MlDX8WKlNom1DIJDrpBKFCYqtQcJabfv49ELKlByVVBlu7E1
4x2V1XtXaaEEpuCI4L1hsU1ehT70K1Pm9aUNmRDI2Pco0xtSUmL3MIUz2a7QS5ZYImL0vqnm0L6K
1ErOh6Fo2Mc3pm/YsUXquXun4mNVFxwPMX5p36b7eQ7QElMznc7NuFZuqiyfnzIAaBdNlH/nAAoV
sdTlQsVoZ+tsKoJyHRfRd6o3rPqKzF9Fby9zVtC2266I+22tqQSwS9fe4M0Yb9uAQFT2QLdGnFhX
RkKRbKXpmXFQTVeuxTTzpXXF8Gh3Q3cmYdGdz1nvVJ6ExXGVFlJY3uwY0bdCNpCsA4R721yLWApU
3FkYwGKnZB+Quc6rE6pMHH1oabcAxJ2nthbV82zkxbc5KqGvgEY1FaZ8dHdep+LIKNj0byxtds6C
EvBKw8S4AQi1j6eggFnIIauMqd7FYTc842/T1hTxDfA8RQTHJEnQnugMDiuJTQkR5BEH39ht71Hl
1SEKilIWMyAAds/g9MjcGmYIP0YDraCWTf8zanIK8jTK/VoOlT8qxY90EVE0MD84PjbncDFAmYW1
c2vnan9NnHR1ayQuNHuIkgSSmkSRhKWzgS4Ww8ZzggM/7IGDX0COTYQ2NFmI1LYS/u04+W/V55Oq
DxrDpQXx76s+F2SZ0fiO3xS6//qX/in7uP9SXfDEeIPQxlJk+bvm41pk77n0DN8AitUlsgQhJ/J2
XhpjGfyf6g/h13CJVZQe7EcW0fGflH8wurwt/9AYQkGJ5YDzviEMS13++W/lnxr3lexkGMGcI9GI
SSe0gZtDC4LXWtlm/6yGubhULKu8jbHikN7jktTq5CoQMbdLNhx7gX3ClJs2NXCsq8hpkxR0UJFg
J693hJoah7bgUJ73cSXXljM6BtGarhmtgnQQWxCV0VmfDSXRSpyhV6WenVdEuV4T/OPscj7sXUDO
MSzZjCzMMIenTvCuvZvjqN6nVFovCMULAK03HC5hzyFVywdHP5sy3X6KO7hMnsj1xBsFLmkj6jgt
Kjo5n0UZ3CKYITEiRgOw7xYs4ly+iDTDU5jCwl/Vo9Nu+D+Em6G3R+D8o301BKMTLuRyhDxRUKp7
bQpMPwXo8v/YO6/luJEsDb/KvgA6MoGEuy3LqqItGpG6QVAO3iU8nn4/SN09EjUjbe/1RN8oWiJR
BSAzz/nPbz4Opa6/uBUZrFZSeIcSW63P4WgGZIzlFbnUuAlhJGPpM5XicExSAoBXU0qs59pKzM+J
oBTDoXUGJkKyi4tz6FyHdPQnPJCMj4WDSG8lq9K8Nua6OExx/dz7Y31OBtPZp5HXP0ZV2977fjuS
tGLM+oMK3PBZG2nqQylT04rWLOnoZXwiwrzikInUBe4SsYZG6Kfu2sQ07rWexqFbm2p4x3QX3/Wu
yD5kcdte+HPc7iQcx48zyaGXsdA3xhzax1S31VGjpj9VQcak2yZrwR29xtxQrU4EkREtoXmoYfqM
UWIdrbhLHb8NdsLObKzsNEmsPYnxcPii2ONT+gfdpYxtwoltEe1HQgQeykJF79I2juBMFhUV0jSy
f8O2x7TQCGx2+MhcpGExLyCOr6q76hSKTejwgl17woR5F83gH/jcCjA3OuBNRicTrmx/HL7Eidnp
dTVaBc151sBBS6LiNnbIHVP15F4CwMwbe8YkzNReflVhIXdpQtac1tRAbMWwfUhwtssqfKIQMZ2V
D9bzoR6HJfKush1c9zEIKyvYJnAfSD/sOVuBQQt5Pee2fxcGE1UvwtwqwnQommjkNVnUmd9/LDh1
DkI3uD4lhhFt+qab9qqIxhNmB/grJX5bPPplEjwbuRMax6Am4naLfY/8VA+i6QhdGLpzPw/4j/dT
Kl9aPwuIJyjq7k52Rf0elNZc+9UgX1Nt6X7dT+10bojq8i6UlcJg1Z4Pq9ucGoJVrBFgkooSkCGQ
FkMswWhLROpD59TQCaXipV1jb4j8Jyy894kr3Cvs2SZxGH0YpRyCVGFT4gbk1UT007g5NeXOi4r8
1Q4j/1HH6oMhhmrjVAR44sM1fbYrPQHlkVxebAMvKEg37BqJ01LS0l5lhX5pXUhvK6z8KyT7ZbvJ
jZ7DkywB/zIyx3ZTtfpONnADkAaznjWhMusJRGTrZdW8ziHRr+Z+0dzQcWxU5NOuIl04gvO5R1s0
RJhZJOdwH1SyL7uObU0jO8e7COFAn6n4DGBoUy6IdNwYfhuorXK1eDFhaG1nxY7am6ICVymIM9+7
bZUdwsmqr1OSOZYgM6s9a5J2F8Q3T96lcVLjsShbC5XlHHSHIBwLj5nfUL3vXYyQL5QBEQjjVSJm
8J9pblSjjY+l7WK9CKDS3071xGsQ+viqooH2NSHXqkcsgietM0zD55ogwpdJFfLKamJQzXbAQ3Yx
MMQdzw+s+iaa/CDdeGaVb6TR9MfObX2xlqK6D9OmIizdxyDZ0RCWsrTeUFMd1RIV2sMHvPNplzZ9
SKpnkrJtllLV+1HkD2Fhd/tGDwEAg5K09zqGCG2kU7H2W5KgazHOn2arhwTdS6eGY9flW1FGvbnK
BI75o5BZ350QhTogYHDvq/jdzAiBpApXFal49qbUoWOItCXb9rnDRjO5CcYACIpkzBuZDAGjykxT
TmXizAA4vGVbHPeul86HPhyebFUU5xo20bmTTUDAX5wET4N2sGk0GDeusMscjtEUpk9e4dCtNBB1
zpiAFreiG/Nb6E4Ex4W5vW7jVF37YU4n2M/mNrE1zpOSI2895hNQsOl3u9rDeoVyMM+vE5yHnzsn
hVPbgOCtFnt6lrqPEhRetnNZSz7+THb0FV6kATqAuQ3uMTp0Dhi+DXh3GR7Ze30QfbZmY7opjLDD
q9eoS3zqpoBkvKq6B0FxDyFf/COR7/MBN16bjgNcYAzq+X0KvQz5DeA4rhSMERKFZ90oW9wHWtRC
aWuzH3WxnE+wXzBrixHr0Pnd1hlhsHZtWjdBmTWKTTYNzsMcEKqTmFeaUBdsWmflsta68jac3Xi/
3M8H3NDkpZ/MmH0ow8VETpNAktJj0TMMOJH7c/QpoB9i1GsA0et6rLiOaKfjNLvTnZnqYe9Pvn/o
Zdc86aDMb3tp9xesJwe4qStx46xcIo7oSHsoIdMkNm1SEIHdWX59N2DuT6GdWJj0QpnZRjZRPkmd
qRtE28HV7PrjoeFgjEmCGa4L3/soytj/KBuLKF0bF7fnuMui92II0kNTGtW+sCLDwwiRrYbXL+KQ
Jj3XXluwGXZxn6S3KJyG95XrErMIIfrFLGN8bScMb9to2TThPprLSGCw563WplneF5P/HJu4fm57
vB2rEzz4Tq7B10xaHNKbXmIjSO9t6Tf1raOZKOA149fGCpPL1F7niazFJSrcmHPMl4WoV1ML7Lnm
4OfOl+Y83es6JMrYwuTaihx3V/nOAiXhtE9bvoyHzDI5tRoPv4uuNaJnu7LsmEgdlvh6wpLX3uph
xmBwlTojIU5XUo5jj+NimMaiO/LKmjo9un3hGPD2g/mF2nd8l5J89DHpR/PJbzv3QdYhtrJ1/FAX
7rTNrTo/uHWDPKzrgQvK8exk8wsbIMbi0WvSOi8uTeIHq2yoIBRI/aqxuxcXBcaF43rZbS2zLb50
xiUPBxdpjVFokbb1F2sGTli1Vb3YUNfk6KziLs4uGCy0d5aN79IaWD+qV5X2w/DBczq9zVGm3EUz
9Q4OLSD2xuprX/DfFuo3LZSlqBh/1UI9tq/R9+3Tnz/wF09I0D/RnSwpiQvFfaGX/cUTWihEtEqo
AkAOAJ+hQH5HG/o7/OWvBsqlgVo06hgn2It62P4nDdRXXv1343NIRz4aIxx9YPjzJr9l2JWMVaJy
8qYrv5iNOV17QzVNO8ga/lOeKws0nxAAsImwOjXEtH6S0xTvxxjj76ku9IIAlCeo++Nt0nXMfGI5
nqNpsm/pGRo6hJJY7gBnYJiIHXbLOdK2YDgb7jRCiumgDPnqMSJXKq8uOtqcFdl7PWuEMAfjxs8V
bogltHlMLnCTKr0v7I0TGXGkaIixP4Quw7ngELijkTCg8Or+vuq5yfdGUbrmFqtuU21DWDjziXup
rBuPJoj5gI8NelgJIK3cDHHYU/NEGZMrKEhDFl8HC0JUu+ZsUa47Af6NJp7+bWld8KVKSu/O+ADL
J37wEqXrdZVHyR0m2NftqOvDbDNGjcqgew3i6nNtkhyMfzv1hiMSa43NOBzbtT/OrsmEkS3edsMV
MqQRuG5A6nQyv/F6aMHG6yhMYfcwzRumDRtQON0bCJEhAokwRRUcqMo23b0ZQ8/c99/IQ1Lg3Bhn
RKjhELxsQzRIV9XYQJJI8aA0zbz/L3Xw/5T8RLKqBGz4z5jKPUbE0f9sXtOy/YFO8+cP/rkx+M4f
WMthoEPAAI6PeAX+a2MQy8agsNv6C3f518Zg//HVFsOD5AcFZ7E1+3N7IOBVeTb6UWeR0ZCo9I/o
hJAb3+Ir/Ao4Q4A50FWXPedHfMUXTdEGQW2cFJXvnYebE20BNsN5NqckeNN5COZjZ5yg+r1XKnDs
fiLBQnqQw9JyIDHIyU9Wg6OprFvvgjO2twFDkwIHJEnyn1NEVGnhOawswszQLgVKZ2uliqehS28H
k/EYtbi3NlIzWgH2ADw3yqebW1LfVAqyWqvMvG8Ldo2qMpd+J8yvFeLsh8LCCbdxW7WZOp19IvV6
BVHiMSkT9hHMmEnHuJt8ln5SOjZON1TRKyvp8nPMjPVYVh6xiG4EmjTWOZ7IFjyeJCvGy2lwiP4O
qfYTMPkjmTD+rm06CxOmcnY2IbfzWjvYb6wwfA82/TiSHuuOtRWtJlFMKB612IpKBevKru1Lob2L
LDPPlQA+Ytgir/JUnpjvkVg/+t0q9Fpzm0akD9a1F+xaUeVELKlySweuoTamQEAD9rxYna95WPlp
blW6c23DPeZkiGAXT8PaKbfajSbtGG7bRM9C5hvDLd6X97VdMAKZoid/kubjkNvOAf17/1LIko6E
oJWNmKwyuKaTNQUhT8T3+euaLExxIoCBSU6hrTTttvFQesbHNBslzM4y64x51zlNolfMRxtISIzQ
erzx27qlu02mc20VHq2GLwxEozVmdZrczmGfm42+gNZKd5MXDOVi8qtvxrxoOTRa0a6m2MijduXN
jdWv2jC2L91UAz1JaJ2EMMwG2jzoOdkq6VR6bUwxKRcbIx/HcN6XlZ41YaJJFhsRDveYKbv2il/U
uP666sdiLo4uJAVHv5RmYJ/1TP5PuvIxvkYru9KkIiXDXQDxdV8Qcu+GN7Aw8aPa4c0vunmvZqZ6
Zx8+6eQ8cuA14t7oJwfEDYF5lnOILWFW5g7jNg+OIwUoGp7xaoiLqap3ZPEUBBZmQr4rvWq8G6hO
odgnRW3uzFgm+OQb2Hqhb8Hqy+iaxt/GsD+fsJBfbJ9nlxFr6+TjVSrhGq8KvybDIaznTVmbwbnI
InozdpK6WiVpFT2RGJXm10YymXKdV5O4mfvB6XeZ4Q6EIdVRCSLSFsVRGqO8MAcRP85IuTXMhY4S
PIg4t2guqYxBehgt1I71vo4Uw6kwD2/qaKpvHBCLbdtXRFZFshj2fABxNaNaJBmxFnACsvkCS6Hq
Fmpa8QQayLTQrSWzSDUlTYZPutRE+SaQ3TwnOHiVa6BGbiDLr8IWKrI0mG2shCxcHjlKoVVik1a3
kl/TMkXTniGqFreYdIWESyjM43v7xk/I3wmyajyBU8K2qxn2vfy3Qv6/RCFSgS1+vv/5QLyKP2La
8Fp8XyX/+UN/DRk4vNBLY4xjYoqwDBr+Pgx98Qc+nhJbWYhQOAw58ED/qpK9PzA1oIB2EGgJtEJ8
ir9OQ7nEnQtywxeZ7NcZxT+IQ3xrEULWIs7FHLccysjyv6XzfTdsqEcD5CFr2J0r1bc1ZXEejxca
ltyeHaBAS1pGsD0uk1Qaw2M8Yuw0VqgQAbf8yn4lGqsw5YaoM7AiBMnOjKcaXmEqOYVmzUjeD2B7
r+qiQWb03Z2+/VbQf59OuLD+vyvzTSi7lBmLcM1D4IK46cdj3GuobNEo6hPeoDDEosKAkwEDcOpd
cU3CArSwX1/Qgsf79pLQhLGxoapBGsE9+/GSRpyx9XZleHIc/7JsXZJLsp46Y58o4r4ZrtdGfSG1
qF78oSagdN0pkOUL3+nAuwFUZUllHwN7zz2mdCsqcbZYk1HnrVfErrUti268xStHPmQmG8FeBUV5
SsDf9TaMi7lfAeloZ1XrOp/XsEDgqoVDwb02nH48Z3PtbUw5269kMpXNKqmXkHA/Cvpwq+G25JvB
hg6Hm6QBd40dChA755TvdshXp6vJic0HLS1egsHK7Fdt5TH8DcPHqa+t5LX2yGxduyTAMn6JfdBE
uXxy0OYMI8woNB+kJCBwRbYz342kg/rFiMg5C52BjzESAzgSoWdWL2YPRWXtMMmObsYo5xP5k23B
dJBEymoCsmn0a8OUD2YSyQaFFhO8axoKiACOOznVs2l1RXRsdcP7FzbZvDY4XfvzrAvzAQNPc3xX
eXI03ltmy52LG/wrgVzKsTzoyssJW8cddSYNweDSWdXzt1VHCuSWXLAiJ+GuFhzrOOVHtwHMDIcB
SUH+kRosvj+2o/ZrMoTBUzfBo+1ReECwGCShJnXs3KEk51eLBoonR5niKTiqbZvnaCj66kLNIs+3
3EcLxmNscVtiI4NEPNptDX9kLnms/eIce4J3kzEAXB6Ju9wcmD0pz48IiBPI0iQ3cdYaVIYc1VdR
SByP4Ql44ihBxgu0fSR1AOVILKv0xCIkc5hPqXFocSE/mdl2mURtMhtkCHr1OD04rdkyUfQJeswT
QokINOvK1zBp7auJsdeT0bvyeuir7Bb2VvhqDsCBEG6UtwYXc18Lurp3lSWScSdnXtloEONtP/St
t44SDIhApkmpOpojE5wtvvP+E6ztpr0z4xlqr927vDaEQXB7hzh39I3gLESaaKNXQUrbkZoDpVsx
1Lc2CW+k+XHIR54dhZAavkzJ1FUv/DFPvuBVMJ5jJqEPiYOcb12GvCONWZjdOip9+QBYxuMh87t2
CAIfeLbpMGfU/6RSvnBnWFwuMYnzPq1KEGoUIVXzDF99PINNshBIXOcGxyYi7H1KLMbJhldYrYKR
Cg/eGfRnprSIeiy7Ju1wnsZLi9DFkLy0jqs4SHvg9bLa/C00Ze4LBDaCoztytE5FlJr6AWGIYTwZ
nTvXl62pDX07EYId7LLJYvud82HyH2Ml8vQc9Im+GHODdj3oLesw9wgiQVdz7qUmUSxej2KI8Wzy
Q24Eoy59EWReNu4UuwpxRaABlPfLi5yCNYw74t5Yx06/LIpWK37LOFjsoYUqzYe4M6S1Xlog53nM
vM68SQKfjYLA57T86FqDvI4cLwlXSG25ppGGyUimWKiT91rqIaxWhGu1n6zAa9N3mh2CVHICOWx9
U1ISk8o+hkbgb92MBLKtmSLBhnclkmNTuzzzNtPyOmmh4LzzuqBOP9tuYZo1NRXE0C18DNO8yTl/
5hoGGHlDh6AwPVL5ytIR4sAgkhqPNpB4TgP7l/fxODOYJAL9ukCl+Wz3XbBEl927+AgNa5mX3eNU
TgY9XBNteDEahthhdLAyP9hYS97IKo8RaGMHMBEx6+b2BRGVzmK7ktRG/C6MVNfsADIcJlNltfBX
sqo8VJUnnhZB1trKxXujAApvCwirjFwI+4qG0bsg5yf8kMFY/DyG+PvTCxU35FpcdoOuJzobPd5B
1g/f21ZfbHMOqU0JS/Ls1UHxXqoo35kFWMkauIVMh9bVt34IscutUlK/CCfNruIqzB7NpHFhqzft
Do0HNuw0c+uCNLItUDY88WzOL23Vd9uOmeMd23r1PvG76L5X2e3gijHZ65rUmXoiHEQkZbHv4zK+
Dxsno9NSTbjTlNiXYOhywzhqPmaGn+4ABGJYb3CgoBUy5CZQs3zg0KmeCzuvIlQUTbHzYlG+ixxn
ubWEgxCZbHfF2nG78bpyRmsVxn1ONpbbfGFWpTdZp9SFuXjJwf0yrwnqctUmEnZBvNFEObBpoAKD
1efl3svqCcdoSIeHJUFsBy3pLgnKai/AmTaEnVTPSaor9Blm7xyKKZD9dsrd7rpuVXDvV5GzN5o5
JXkGlwCsi2cPDbLjXBtRW5/YsKcLzDemw2BIHyF9OkCj0wR3mapb192UXERF4zz0cT9/EiJLTr7n
zyddaP93WRsLcvFjSYSLGv9JNiOM9996OdVlbnkE25Ks2DKYTIsAp7EBiB5VjUbkLiBcB6zyi1/X
RUvV8/aqi8IYr0TSN/D4+7EqQkIYudFg+8c6YxeN8coCQWxNaoxfX2eRPb29jgNZh3LZhILz1kO4
j0qnaxizHlW6VBiu0OzZxVi92GPAhvHPL+YCEnE7cU/7Sc4sWcNGSBF49DLkCmWJ4qbBoXVtxGDC
v77Uz4UsEjBAa2pxgTb/rby1Dn23IvWSuB9nktdFR+kNtz9bE9yDLMTFIeIfXw8MzZS8JmBxcMN/
fF64ErJss9w+zmMUPH07ggqCPYjpLBqqkSYmyuQ3txPI782z48stZiLMCXh4b4v1KQ9V6+tWHZk4
Ul0RqEHxw4bKCVyMZMuu1JKqAEG+58/CSDg+fv2lf35JPYR03GeUfHidvTW7gK/CSDtLnWPXxUt0
gmEdRgnQ//+4CsoJH3NSgOq31K0sMIciQJFzDNuILIgY2qLr/dZH4999FxpKD39pf5EcLjf7u57N
QbNa2wbfxa8bb+PE6CTwQ/1/vCZgbgxSQEAhor19TdI6r2OiDO2jGWg0R2T0hiv0b6QETUErr9tq
7OfftHQ/71/s6Rh18LWgiXHZH78YjNVgGjJHHY0ycJ4lyuXjLHpKEWQG/hY9A3oMp5l5RX792H7e
WTBJ8C2yKAQmlD+tCLx3ESMzeTimy8QngKx9aqGNb+bE8X7j+vVvviIvB1A2NfiiGH2zWboEd3Cp
3DyOOsrXeGiXp7lpq5dM8cKkSwc3Lm/NP/9++CN5C6vQ+dm/uxcxQ3HfkcfMQY9TLEMwWBxMhMTS
/Pz6Wgs08Wap+6ATtlLKZUD180qLPO0J9pPjrBvfWyUyt8G4XJGdYTrra6BKlDgB8vrbcaCuG6i1
GuRP/RhA/28UzUVpv5K1yWAuaiyqzhmg79ZLHXjZv/6o/+6TAn0soUYmTgdvXaWK2B7iCbba0cwt
LhQz3npJRoPzEpdfXrXEp6z/9SXlz2t3sfmlriS6hdwR9w1qEWbgJQFn3NHwDGpdeCj0D8ThtJ88
DSlqHVXB8r4nsbxGiVm/9D2ptRsr9sdz3Zh1RlReN9c7qqR4304yi/7x4eDjtAcaxGLg2b316BF1
E829x6rPZ4+iW9jJexka1hGnd8h4Qy1+B+P8tPaY6iyrASiHVxQa7Y9rvo6bpegnQrRXAamXIgkT
5LvMYTnZ6cZ/ffv/3cXAjfDLxz2c4+DNxbyZWDTo8NNxRCd6mxTk+orGo8uxRUWX9OuL/fSo+WZM
x5UUSETYzt4s9Tw1ZNUEYiJA2qaxDOOWN4uFSJf46wu9dSg3Pey9naV4sPlyWJQun+S7A4GI7Hh0
KneggtCIIQQ9XLeGltbiYYgVXHOqkh4kRIUKpS9zXsLCKtdi0pItx2BZM+COU3ACY6BZWjdyhqvv
an0hDAcoC9TL2gnEwLTndUpzPCy59m1R+ijxfv1Nfn4+qEpgDWDPSzLJT6UQUwMg8bxpjpBivM0A
eeiUD1G8D8X0j6suLLd5BxS5MkB6PxnktqEw2x553FHDIzh4ZsL3xz7W3zLlQktM2Prv8MPl9Pqu
flUca6RsLMY/nrTRvb15SsWcW7LWtjo62DF/xhK5P2oV+E9fARHHJR5rU8+Z/ViOo/mbnQ5m8NuL
s7wsx2EOJkysoL86p373iqgMgYrCE/QoJUjSvEES6+B6OpHMZZlrHOy8D+hZUrVBMyUbplglK9DC
V+HCbBGarMhonM6iy0ERZ9hYOJ2Qx0NjAQMf/YPLe6RzZmN7HHHjW7edjILfNMT2hU98cAJwiTb4
zkaj+YTBFcedwWGwhxpOlnWvp6pZmU6DaeowAo01QQrulwIcQU+se/i5Xoj15xWZjaneCJnmd1i7
JEwkW2M/qti5JUXBYBjm4ggCil0wQnFrEx2mSAQhr67d+atI6eqyTZUr0eJiRrsp8SKjgZ7jI6mk
cq36zIb/2cmoJtuyq2O7BfsW/VC+WnNSlKwZgj3mdVfJTH4atJcCihsJ6wVjlwUMhYsY3fbTyJ8x
WZjLg1MCUe59zSjtAod3uqKinvnbGeXKt+KzTwOQFz9b6pq6Yq1FRWZPX0DLsVVIJVFtENI1VN0D
KUHjuSJKPLrFbDUjbjas+/ausRoeiFmRRQS3M6/SczkLzgvdtbLeSeEgLhemdxkiiE3PbiWbT2Mj
+BaDhY/JZ8spOnWla7lAUQOpqasRi4V6x1e3X220rvN9hW2Gv03NRF323M0eRKMDm4vTNh13TjVx
eXAQkKt2jgDCvRwV3LZHnQ/zxIkC+WEerOJQj0ln3I9lzKXrdObU8kWhgHCijEH6TTH0dnuWjDCb
TcrrEt3Sr5JnLid3qNaGEatD3+uGGPWu7Y31XBUVvgXm4rI7h7xBRdHTSJjuELuXqg/kcIhGA0e5
dpSo/UudgWl5DPbn/YijmbnCcwKUMezEqB9kYets78VIWxcbNuJejRjR/Lc6AMyet28OSdDENqwE
N5OOa00nsvJGeJ6ES49f/HYObr0ZN4BvEJyddXwYKxrlg0pM+zUOoijYNgjyqotvy8ox2VvEsmYG
10q81wJLcKKtbaJA5Cij+AK0F2zebBXbuHZs3qLac+jMoszmvprNgplbSdN9mOJy6HdfuUvfRjOE
Z70GtrUUEqGitvNKV73mMlmQWA08j6MP7c8oBQj81+PPdTpAxgjsyr20oQ+gmhTxmOzIPhfNKfdD
lmleGYsqflLcWBX0yoLljqnBXVPUfBApwE52FSI4onRlPb7vRtdCMZy5dpqevRL//yt7zOSDA0VC
rTsdxNNnz2CSsU282lR3k6xAgaOJ2pg8LDng9cHw1caEfhUBV/CuQGNHth+p1nLfUZhDrljZjK4r
a5XFfWUkqyCYc7B5I7OTY6Yb0PopA5TcgaDNHpBEolD8CUFgNYH2Y+sBkM1dnwzfTvz/Mgl/wyTE
AczhwPnPc9IbhDXlj1PSbz/yF5dQwhmi65MU45gwk97w95SUsvwP28ElkTZ0oRJ+PyV1/kDywoyU
GSDanIU3+N2UlJA9WsnFsp0+C4+dfzAlpR348fhkOsuh6RIVtJye+Nu9KRzTpmMA1fnxLalk6P7W
llykWTpMnRs/qJS6U3RWDS4RAnFzEGCUhwyzj511GnAMjtf1V58qN10MaGGkt9Y5+mZmZXu9kSJ+
TzX6wr4gJGMuxHDbZrX4REz9IIaV2+AFsdYy8gT4tixDJDuRmXr9vvRVuM2jOoEWU8gvVliwZmAh
ex8McxkAwNM4uimGAWUZzuuRbJazTQ7XPkQ2vbH8TED0jsvFDdPpulVt6hxzjKzSrA7kmY+uMD54
GJ9tcps1BvfIvSZrPD7ExFpfjqmKD25vd++HpDO3SkBaXunCic4aEn+0acpxuu2JsvY3ELdzvbWw
NTFWHtaa3raps4ojIEKtEjDD7ONw3RLv9CFmZvTY9E6UXNvmaABFVe5NrJHRwpIZkXpmzgSl340Q
UQf+6MPPFxiV3rt22xYbnsT0HEzQPBY1MtQoTGPuacYwW29KdpD1xMc/xE4QneZhHJ/RTkl776hR
HMLC6rc+FVGxFjLJ5c4l0Q6MkRHTO05gLMFD5ONrz4W+aTT4i6wMmxMFn9fZg4M5uN3KyhZtSTLH
cD7dEbH/JrGbhpEKQvqXtsOS6JZvYoq1mfb5uGFjg/kiOmvbCLqD3EiiL67OEOWHcXrRxKrbDaHF
dKwm/LrDp+muRrzC0BgcZmMyzryDhqaPU4nZiMhrecf4btgWfe4cA+VOEPVxdfmExYrcwJXsrtEc
zqiypjKPIJtMJCrs6sKoLlVIqPaVKDrhVkc8wQf0vj5AoOdtuRGqWud9BKFFpfBnDpgdScVohhlw
sYq82IELlTfqEvJ9IeNVVGCghWubVJba5MzKrLuuIbUca6Devc+rgrRx1xj96inTvYuBedks/n0+
5vxaRCW6u3F0G052VEjHpAy0f+lUYfQpr1HagN+7qbvKvAlWeQ8ntVlj91BeYwoSX/ZFG52coBhe
TeynUXk1Q4cFSYEL1hgiaFw3pYl1upE5AnPoJDOJ2xMqQ6ovp1auhzk02guBQ8SuCOP4lkQSiVK6
xj6E6W+Qs7IDzw0QMkxxu8E4rxvWCMX7/nKe467emIay1iWMKWtT9Xm/iAMMEj4SA7+pWxBPXAB0
3uXuFRXcgOmGTdJ76nabKMTfnjdOGT3GSkB4cJXia8xEsh6LuiCLmFsJR2/yzBuezbgp9y2kovCo
RHNGhJLMd35nfDRmv2BNGU6JGSFENHi7pdXMO2zz83YXdlP5PKKMVCtv6qD9zp5ZQi2odLHnf4Kc
+7iithfsRNO9qn3G5HiSUa3GUPicfSYiczi4SWAdLNhmX0jofbQ7cDErtpv5vk9NBtuYlMFt0ME0
brzKkLAjG3hRGAPdqWJgPQbKT+AWfs1e6NBY4N+R7OfR8o4JUcSImwZjHC+/ArKuRQDGhiule88L
mm0mwwCPIp5VuQurOYEWpqw7MuhEv7O6KNs4fmKeSqfwtww/mKwaMfRldGPUX9Ws4g02ToslQ6rC
5IOu3eQ1Ea3xaOmsf2mgXOutLpViramxJ41wtra5dIz2oMNQrTM8n5qtEzWhPvEPFBZGWENTnpiU
viEmPxTkR/xRbMigE/YklcCAP1NYKFD8Uqg5kDltR4d4DuA5T1i3tkhKaPMBDVJp5xTfZVF1HoHy
aCrpIKwnvAPfKV5hZoJfeQt+IcwLxxvcOwfjk03YBjgwmVF9QDnvim0xw6TMDBslbbnMvguopNdZ
bnb9KtduLq8GXZZXeNo6yd6rS+u5bsdnsI/eh1gX0ynANs887A9E26yoiKjV8JREBjnJ5pzDK9Xr
kvMrvJMjCAKQmMqmebrILbd17WStjIB5DPPAwbtWXiq/ARv/rad+U09BAF2crP9zPXX49BqV35PO
/vyJv8sp+Ydgj11gtQXrWsJf/5ZmuH+YFjDAIo1g2PQvyhlqDkFspQCG+4u1/S/KGXiMj6ADPrcP
VGv9k2LKW9Qf3wMhYvkN5JwBwS3E8Z+gl1QGdUev4VzbkSIQNyjG+oToCH8Pw2OmDg2TkRCezMdR
+E52P8eV7X9g9Pg5Kmf7Xrkpci5ZWg8MYSBrukZ8si0XtVdmejR9FXyCfImHxYvdwNAImm22aCKg
yQz1oyhqRIhM3zMrP6V+3Oyxp0oSjsfIxw+szrxd3ETFIQ8ma+0mHRSpSYabIs/UhjQiexfF5Ohs
GYnfpZWPtD1BeXYJL6y6bDqzBVDp6yMqz+ET8sb3Km+xLfIb8YKc3t2LKq7eU2SJtbJzonSt5tXS
Carn0Ytw0HKxGz3NUzReiKpUOx6UcV0kRjBuXLffRXAJkYRqWq9eM9XvZN7v7CbDw8KMh+TGiCLz
HfjDpeosksXisVo35JKdp2ax++pqAJlWvMvs2H8ckQDfjMVo7SvTfzeOnrPtxbQOrD6/UwkcNmAd
81rnuT50OO0RVxXHlzmF7MF2ovjKN7JX2B82TjhFtbUrJz1BJ/f3WWn0H9DqBYeJHnRHSZB9XsxY
t3Piyc/U7x6MkUZz9Jrx5/9l70y240ayLftDhVzom2E5vKfT2ZOSJlgUKcHQN4b+62ubK+KFxHgZ
qpznICNWpCg6HI3h2r3n7NP3ZrsJxmT65BikC9Ae5U3UQGsNG952X0yzzzaOlwrOTfVSJMULAu3k
umxqmjtiHD5HneZsoBpVGztLvNChb1iuPGRWSAwAfhkreubFg7dMtruKdFEf1B351NAo2PpGlFA/
9jmUXpNOz0p4XsfRD9661DA+7vSBUey6znHer1z6MPd2ZmS38yyXm2gUcAYWuzkJy9TQkeiTw6ew
rAcA6Hd2mpNhW2hW8jC6Mj+hbphPgp7INVOIdEtHZLxFzdFuSymnt05lWrCBtrqwz7T6e0DeIOr4
EWh24aXjCf5Qsp8oxk5d5MOrnNwxfhdmroV5XTt7gZoZZVtfe1cGKL1qlXRK+ljO+sptgyWnHDfp
fzUuq32MXvLZmuZ+XDXWbG4zK2sAoehesjZjQbUhTAc1NmXoqirM4GooClh1XU2YUgiuqN0G43RK
Gg7Ka1xSlZZZPsVAX4oVFYD4XgGm3Ph+Huy9JHNPraO9u4uj0wYRaYrUCm+i1WojRtYlpsyrrXrr
pXrwAm0xU9IvWAUQPQvfF9D3HP3r4Bq5koi7bxmGRSbVVKGhOyDEGFsIN63RjZ8I9bBu6SN4a8JP
o23fVUEcltk4X1UUKV1I+VAd6XJiXy8iTWzgHiy3DK4qOnBgZ1x3ItJmssyDxMN6nwPkQCgy9s+O
cKq7BLDOvEqjTIMAFydXWm1BFCgCv8CmyldyKwS1KzMPZFh4I62gdpg3xjKkOHmjGeuAvzwN6L9X
w9gYW4GPbi2CmUuCouRa+GV762KrNiK/faT17t4HVr9vS2u5GcHh8C7H6t7zWINNNacDtnDIVaNb
3aYFoRHGaMiJhpY/P2Qyr68LOZiPCKLSL4luNGvNhUyHZmg8+HMiokNJR/phShuwAvCwrAnJOlAl
+HDVeBfbTXua0xohK1kFZ8SgRF8B1Qkxx9PH0/FKxBjdDktjvBuj455rsskOpjGYh0L2Ll4GiWKy
rE20VVG8a81IrBmjPWoewqfVbFrdAwSx+RtbWQyvmOQovqFFeXNTJFxFEInMTkQIXSLbIfSp10nE
Qq6bS3eViH56KnMdrVFdxqHrD+41HRy4DVQkhyAW4zrKAv+zVamSvh7RZkykg7c2zWdggI77mZfg
sreDQPtmoMxCzyYstoB2/z1lKnK2naS6l41rhEgHcZY2+mu8FPEG52q+NqsB888gNTAUUSM+k43W
ndoiv1e5y0d2LGVotW19ZeZxd7uUIK7GyV9udQPYiISV0qy6PlqYuLjtrrDBpIFf8teSTfu694T9
LVbYQmbpb9hjhzBjzcwVfEWodp92Epras9fO+AKAIwlto17uqQGDdWdV7ufeFzwblluvF8fPD/Tz
JzqXvcaCFY8gLRP7S8aYcYWpPTkbpLPvFr0yXkc0GEBElyfYWFFojrO5dwYXH4/OCPSBrfC0rvXF
P0D3vl9040D1oK8C/PvuJtMRTq5KFO5rBN93Y53FL9rkFCHWIrmaMTzdEmows+9u4vFZj93mGFiN
d4xxS/usoFGwZ93UQtnpJ0nf835Z+tuegRgTKD2/6jlhocO994h1ozgS0r3ikUh2JW7pk7ugvQt8
7T4DjQoIrq38lWVR79pl7O+Ze/Vb7ET5RkIoCHU/QqlO7mflSlANDDngHeoJwllyLHmgxLYviACP
ux7h65Q3zF+j4hSjv+RVFI2vItHrnTbo7tUySO/N8PL8aytr7ezIlmZ74Twsvv2kz7Y8k07fQPWy
vEPbMXvwew+DvuMNT3Qf+6PjFq/pknYHkXrxtqHLshtUlkS/kEeymrRYHhMgZVCLY/texmV1uzQO
+yDeXMMqTe+MuDY/a2M5nkBA4O2EWzq8GEmi7fNlcE5FzSTHTJxtZaVNSFMBtJ79jD+fzblf5Bvm
/dHKi4f8MfDjetd3fnNT+2x0J1kzy2uibz4E3BA8qdgBbwQoBidiL6t8OQn4Ole1k8XQbGRC82mo
1jU+mbXtOst3p8kfBZJNmhip95BFHEJnZB39sAieTWpdD6yqYFOML2xENPC2trhJ6+qUI8i/nlyc
ZpFhP+VNBv03tSBzEG6ntCXBNpmy6Evbz9POnpL2CwguRqYBcgxkucPBo8m0zV35ZQTvg3qRDg22
2hWbumKT9+JV6x2QvLOlrzw/XY5BMK9Q2OdXU3flVa4NOLEqhrOdV3FIG60Khe7lT6nmlg8UVdlV
2fi86h0D2lcyZvAtqqoziEWJ63NOUkrhWvXOn/T2erTscl1OjrYTqV1s2RvHJxTDLDtm2u9jkGhg
KMfUvYXWOB2QxsMU9clTnNPUAS09fpEGa23ltU69g1233NQgjsPMaY1jhX59S3tueu39yMcK2CwK
yCRdZ5XlcVMSwdrYa6daprcyE/UXd4a1SZn7WsQIUzmQ73QYmm0KhI+IV/oPh1nqPnruTKOp2GZu
6DVZwSjOzkr8syaw4cx2N+NQNCLU7BjIQ2uuQTmPvNJcsAmEYTM+ytIb6t6wS1RQoekuW508D4gs
kXFcWAeAeFJtCt/X95Gl6d99JCGrjqDxVd/B7K3cjtFYAguF0qPdyDy7cxDiWvTtZriGBNTCtTbT
A6Sp/gtI/nhvTlG08cqekSCM3QxedC9DgLxy3YxIPlcN6KlPjdDbYGv0eN2SRb9jsAWYBMxuejbG
znibai8H0jGxIKB2B22cmduoXPLSePCnqE+jdTT4onpL+mIA7Y3xMige6dkx/zxGjp9kV90EZedx
nAfOWtW9T5o2r4KSSnmVtq6BIZNpoEfjlFjXtRMQv0AbKyYCoYvSbjWAM//GOE+8j4SKI3OTzif+
TvVFi5FyzzRMDlAyp3ZlDP60RoCQHPvBb66bmp+upFt9hgSzsrK53fKJ2nUWQOfr4R/uEloMFUbv
qXxvI924rpLJPyD1o7M3Xpp8vfu4CBQlzJndd5uEp4jh7FJfRao56CxBe98WDBVT1TrU2Onf6aMQ
axduM4RRMfZ7O+98tRrMa6o+c13ZlDAEGRSrWLUlyZC1UWk75pVeSsR8qnOZYFYC3UM303HnwkLb
x+fpCOifpmSwX6QBcGhFIxf6qjQ0Bp16ntEfG9P7EekZXaZu/owx5SZOfU6rngfTA4ToeD2kYGvC
DnP49VzHZph2Uq5bK6fJKh3AEKsorum98haG8A6494BRhhpZ0vQ7TthEH2M/7z53lJ7smeRwnssl
fiicRW59dbIjPO478ECKOUXP8KxFAyGr6EmHjdvX+gG/XvMQRYXerZOKH+2hRh8ybH33XQzEJ26M
5hm6iPHJwFX7qaxATRWefrJNDJYwvXRtb5l1DagmAIbVD/oVCJT6YRCTLNdRVJfedT8J+64Uzau3
tAjBSSSjs68JfYFYoPPaT5aYvjfcAPcmy+f8JdVhNPuQc3a4oow4nHvDJPeIjjl0wvEd5b4V1qYN
n6yI6zVHVG5T3J3VemIKtmJY7gCsbZgzdE3SmOtIOOPXhaqPil8jagkODDkhl959GeTJfRsHVGL4
IwEmqQ6/9DVjg5c/OICJTw5CDQEcNQ4o1GAgVyMCTw0LXKYGuV8tT0wgI5LPDJcvB/G42uhONr9k
LBUMDYdRD5fUW260mVlE3tfRrjOH/L5UdRKCfWYJC0Zp0CnxMVLDDDRztAHBhu7LNDLw4RiKa12q
QtZw2pNjUVwnpe6oFQwY/9yMHlbpJC2aT1U3+sWNkaXS2uTotq3r5jJMQeog/LAXLizXlWO7y7sG
iHi8NS4UE/rR/EIi9146pEjT4zJqUM1XWseGt7vtdYmybNP3nulhsrDaabzilLS+v61iFVpi/Ugw
+T8QHySTS206L/G0izSPON+8mJ5/av/c/lCR/GyGUz79X3oqPigOTLbgM9QkDGUof/6TvqMGboa+
3RjPsSYdsFfKWm4itJ2Kg+bDiY+/IHLbDal5tDJnq9nt1hHGhp72dd0vG1l1jA60XUB/NWv+Q/kh
ul+OjfRxw0b4GIBK+vXYCmNoSh1p7Lmu27NXUytG++R3oX4fpEOXD4FIayNUtZHYfTwBTtpNbHqH
8ZyYOtg5tsBavi296r8tyf8vNoSJyAx/6r9vSZ6/fW1fZfYLF+KPv/RHVxKuJv0+leD5l9/1z66k
4kLQFtRd33IC1KN/tSUt2pLI53xScpWc9GcnrP6ftCFJRv34yNiOjtyM1Qnbq9Kr/npb0tvX9DkS
w8kiG3AQMCahPbmsVXaTzuUJV5o918UBUbL4xvYKvUemEF+O37oHqbBfeeFDACs5/OtWYcHMFkDY
dGGFdQobZl4IYiaNjy0yo/6TrQBj7YU1NijsWND5ydlUKDIKQCYCSKJAvKB6DR08f3C7wZehNGm2
+uAX8NH08rZTmLPgQjxjBpc9t+S/HCmiIaJNSOs/6c2IM1EX6j2L9OI+F35x35rds6vAahJb5M4z
gK25jbPc6wrApqxGW0tB2ZaomzbaaHVHOpuMi/E7hvRhpo0tbI9OV0bt3yfp9Op5RbNnGAWV3F6w
gDZNLW959MULbcCeeVaV1mQ6DuY2EB6+KqcR987kpvQTFI5a0yFOtCi6Tn4jn2gQIucwaO+2aLfQ
oulWvYAD7ikSjOkrsJ5Wrqwhk6gRh+TUJCXcgrJ25BccsaOgnJijpzxLi7M/DmKrdWI5Ar5BmCJI
OVzDL/aU0sWnciMU5NYMZLrX8vhmzNKUHtSUrRfBJEOycO11uDSnSZT9qdSM5CyMAmsa05r5YVZ4
tgwlVti5mUnVMcn9bDbltdfo48mWMDAgolivqW0xuQyM7oHY0XwKEYFmRBvUHawFYbK5pqF2jUpG
3zaGp60Z+5R3WqdbD91sd58Rp+ffZ1Pqj+bQJ2s3m8qbQjra2Uo8TEuQ6ThXoAubqQxu0f4Xn6wW
yrPh12xKOlgWY5khz9QdjejydoI4KeWN0bH/SqeOODNrAHeecuOomV8QvFmwQcjpaQ1II9piYbac
cpFtbDb0d6VUYRNu0HTo/YtlVejVsPVRB69wy7yyJ/OvLlYVhBP12W6pR/pSL7DiLngtZTxtJ0ML
ps0AJ+LEHM4m9r329/rg5t/SMk5v0QuAwsji5QY8dg3BwYm0Nx/CbEFhJ41g1YxuTpcL8d5Vmbge
IxUhjnCHyBoqohQYeu58SoxCf2mndDq5QaZvhC376wSK+ET3pBnuWoVCQGoAFUG7ABKYGj8Gdubc
+NATWoVRGBRQIVFoBZMW6Ca78BbgOsFeMBSGwakaNFFCwRlcqTgNkoAS8CQK32ApkAOlWHtwLnQH
/0J6iC7UB5ep8TPLSH07KyhEGYOHGPrC2SQKGeFd6BG9AknQpAEbreAShcJMtALghKvQE/mFQsGz
TeLZhU3BRhJc0mDhsKcllzyZCmPhuFFx7BdIcHSdFedi0Bpn2JbMR/FoYnkItR9UjIy0Ac+gf77y
3CqqQ7tpIlaSpF7WS1G95xfCRu8C27Au3I3kwuBIFY4jHhSZI71QOnIF7LAu7A5UkXA8pgvTg5y1
6Y7MOeOFfB+YH7QvWgAg+Q8cCJFZFzoIHBsFC2mHOgYdEo+zAolMF6pI9AMxEntF3d13igq8J5WO
p51dpim1Jez8tKA/aA9mNj606RT7b3acRaIMBVE6o/NUoOci2NOvscZstb7v0vfZq2uDOTKXqOXF
xcvtv6PJ340mXUNpi/99HXD1WspX+cts8sdf+bMKQM6FWdqj4807N4AW9tdsUidTksEkVYDyqthK
pPwnEAPB1R/TSMv9FwnneI0ZR7osqgw3/wNpFzXohzIAJwZSc0aRiKIRSX+MCG6izs/TeHKvChNs
QAiHykBcaowzBCJMgBeskgn4cFxlhaIGVeUMbKhFjNwG66VjBvtAIrauFUcpXVZdTOITuu69H/WG
C+NyYG/lNflSnzMBLMvbFu1Q2OO5w3GHZX9GtmqHaAjolMBcygv3NNiNfMsAP0LdBMVsmDj9bcWF
zGlmk/QGLLJGIP+g+ctinJYLTLL5QZZUUyaQEkZLols5GbkTpsiLmGFcsJR54/fNLRPFDOJkFHyG
nWDRcr7gLNt2SOsrt2wRq1YALzXLtSs+AoX4ZrogMWvPQ7phKVImgSf+TdaU7udGcTQ1RdRks5/e
Lk7nbasekRZNPXpI6QXDWV2QnJ2ic2ZLkR9ItxRfXMXuNKXCeBqK6FmB9syn+ezrbYpZOEO6wz+i
66F3rZtEUUHRARqbTpFCpws0dFD80P6CEtUvVNELYNS+wEYrxR3NLwjSUdFIS20pbnujl8+TKFi1
KZx2i+KXBtKcj7ykmhaJGZoztKRashd5mrxzPzh3RGGCQh0qU7uh8envJsdt6ZRC7iRmoXwUqJx2
iyKqVoqtOrCHr0IbvtW17Qzmi3ZBsbqKylrZcb8O6hxaq+d5h0ERXHP25MM66e1+Y5hlv9EUYHdk
4ru1RmvZg1EBBTsrKqw2FzUO6VzbsXlfDnAAlzddcWQFHcWHhSLoTNpAdaouwFl7gT079YsLnWQ7
DXan6to//91lpk25i2iF/kSY6MUlBGUI7LI9prWMx/JIfPmYV2uvi5o02MIhuGfzT1eC3iaJQctG
R9mtv/13Rf3/gQwhqfjHjVX4miffQYz8mmD542/9j97D/hc6CvYzrgkLx3d+WlORz+L6Y2cFa0jF
+bJ4/7mmstoank9Or22wK0ea99caa/7LsfiFbKZ95f0M/rM1ls/4pTmBdoS3hssezoLLiVr4150W
5AbKsR4ffzlawWYYSSRcMbnwsjDzxuHO1Zz5mJLxm210PaNnB1ftKbOl6vQFZfPy0+vof2uV/E1+
EnAuApOHDA8OK7462p9aJTZosiygwDhTvxvnOFvwPfRMCUBSDMyQucdtSLboyplQFj5CuCZVkJdo
ATCgGMXle9B1TFwIr+vXZp4bT4uDcAXphxN9I1zWmH70HP5tZvqlQfKTc0jn/KnWiTKpskn2P6qP
eQtgTADrd7YmJyaYbVryJ6JufWvbeXPFxGGejHTNu8Kn2+uSu00AmbUrMNZgBRnoX9N1hNFO6ems
kR9XYOYKodMdapnzbOIKw0VG4nkhwYWv2aUHz1I0VxkhURP4HM29ZjEfit94kv5+GZQPkqANjwY1
ku8P228kqvGo1bk8Q2MMnqvYZ8tmoyWo6eqBQRqnNnioIyP/9M+X/2OfiO0tMa4eWynuRf6hDuun
q+/oU2yzyJXn0l+Ms5GJ/gycKkz8SDz/8yd9bMmpTwqYvXnAoiAy+B/us7q056VpRXX2a504yREf
yo5iA5o3sLqNjr1zCS199qswhXxc/O6mUZL0n28avqWpm46JCgwhlPXx45HGJ4wkyNNk7OO8Fmnv
vGa5OgZnKdA0oguE3cil3415gzCjySrvW8es4jAGs32aKGX00Bph2qBMLQsEk7VpMeiZ52+1NtRr
nRcqshtEGO3esbCR/cYKaPz9QuGOZdmwMEkj5LdZ036+ULrbO6XDppDYgah4TdqO1GtDy7rSpgaZ
y/iIMTD7GvtBfZqWRmxRZEzM2VEafyd7euG9iXcntKt0+Ja0lvdO4Krwjv98iaElfDzLqOy4iegO
sLbydFKy/nyULlEBeis66zq1mzoK/HUXCGxG6EogaA49/p2p0e/I70QthWrdC1uj3Ek2R7vchgWT
5U1xX2PrmVbYX+KXMS0q5nYdzSCwhk8uioF11JTgC6uUqijprHSENSrL81hr8gZIvLWJY4OUDm2J
sMuyiS3YE3b5vZnGt6gMoFDmvdeceZM/dibCJBA/JF4bCZBEMnH7BTnV6KenXDj+Z1LS7aOg6D7R
qx6CcATuVYTcdAlN5HYmgHz2lzU6EA1r/PRWy6Z76HWNRjvRmx4YMaYwdmSaj40wxoyUGLooq0Vk
0VdK8Hagnd5oX5BBF+u6luYhQ/x6MJogf8fFg2i7torsISFSncylxo4JMWn7cOY87AzUjDcN1KeN
jXpqa2CTGja549F1GECpgq0zKVsLabXrvg5uRKTFOnK9qtvzqjHHsNRTd+Xjf/g0FURkmG1QP7DT
d3Z9QPbMVrrF8uq7FQNKADfLdmCzTMj3pL/Swhu/yxi1VbiYnc44JzaHeIv0uuLhGCG9xEPvb9sK
3UveWcW+5EdXLOdtxYkuBo8MtjTVQi8aPShQDtnEdkf+ntVpZbFr3WwT2/2s3410TteJbHUon9xJ
3ZY02kDuJnSNJ/dHWnj/Izt8Ti5J4iISKldcIpz2CoFOg6W8ejP/CCHvu54Z1rnLuiKbjgEV424I
+i46FOTa0WtREboXA1o6Wxgue64Bah1CLCYuFyosGlMR78OOUN5mg4Iq1sM274zoBkK+SkfPZm/E
Y4XepjvRFlEZ6uOPRPWed+HWvQStDzw6pK43CJW44UiDKbblJZo9/5HTPil/DNgn5ZWZI/yAYSWV
b5DED8akY+6BzJIRVcHWKWPIaP7isGKWeBTwXYgWGfYg51jeSvipBKPFif9d6+naApOuUGImtt/7
Z+eiUC7/0CuXE1P1eS+x/LZig7XAU8mJA4b6oMVls51ztwDmI2VRh445Ywn3JmcmOjtpEi3kslLR
14Uy5FsuPDb+p2s3eaojBOzBHr3A9AqKg9UGCFIy0bn3S99hnk61CqYbzmtJSponTNHtIpog5QMv
Ywtm9mJm277mCDZVl0Niok27EIeQomq6LvyZW1vjUWnXkWH0xxaRbg4HyWI74SFkrf8g7pVLai3f
8gy7/drnADBmzniDDoae2Ps48RAAmBkoKMaZCelMfZTRFRvbOrhNozG1Qwt1H22+Ol20Kz3K7a1R
R7HD4QZejbtV4GhF+4p/NSMpitBpfm5lkCBEgFsTWw394kRbsFwm2pe2VAAtKE+Zb54hwiUQ/fzB
1qzHOSea8OzWwVytwbl21yCeeCXFeDv5C4HiMGwRZxrlZ+Sz2C2buQBZJsliSK6MLu5+WCoB/mAN
RivMT/cldsONdBd8yEWPZWWdW02GVWeMNomRNChvRyoLsALDA6Kw8WvdCms/eJDPNn7mMIskbJ3f
4+QVXtyyHRC/T7Vl38nOwY/ZafzEeCEmYhUBfjKYRUpM3GTiiijBD5o3iQbQjlgHdXOmaSN3Xi5x
4U+zjetSb0ZqR/B/HFhFj8u44g0WPCOK5u4uWCXbNYhQPBedDCLzNm17TJOmXwZwNu107K87EkQp
PhVJ0UEVNW2qseCjq2oB94ZOGkykyo3iy6tDH1mfOC4l4bedkm/RN0SErkRWYfgMsoFHB5VYltyV
rccj3/ZUBTF/xppqdqW4oYM5E95j1ULnco+t8gNoAi0GTqWGnq7y4RFH3WBM5b8xqfKNWEAmOt7U
yV1ZPEemBTRpSIgv9oWTcV8AEHwdSwW6m1pM5FY34SyNKXPTq6ous/TB522xk6UO8iKIm8+gN1zk
2rZIzGPlIwy5ikQVD+u59ZqRAndWsmVOa6h7zQyeOXNup17q1Z5RwJC9jG4Ryz2Kz+L7DEWRNSQh
YmfNPsC3NuQmqQhgtwheND0iw32skYZ7RPBu5nYU90nVyaugyJSsw2zNmGUPYM2K1nDw3KYaJM3c
LHlMFi2ygoMN8LtB4jyX89E3uKU2+Ne5R1KHSDD23cuw4SUzNldG25tgq4O8G3jTEtNE6Y1ck3ll
8KjNlOnHBS258d4xSJCrAmABPrXR5FdNBCwuIZFnbnyouSzkz2eBS7b8MHTXE57Zh3SQDW1yubeL
iaj2ZXS5OJluqNisPMP9UbqTfWLIgPBVNGUxXMXzWAucQijVHqlE5Luu+sArlk6JpEpIQqaCEY0E
b4G5eUB7ZCSfjGqxfPiCVGDzU91ZGG0EeOd2Izxof0ctqsevImZEE+aedLNDEujG3SS1aNm1fSOT
TbL03KSJSf/mdoLC6JwLiC4wF2rkdte2IewpnKlu5GYUBF9uRr9MYFbSi2btkDLfGJM1tesBnWpL
w6Xh7s/wwyG8iWYdK1gt3ebl4qFORcu9xpsueOZeL+RtGZQGC6xZB2RV462B89Z/jkndYUrm5gam
SLPEXT06cWdf2/hhhvuGtOWWlzt39IYce64mGwe09YnV4fv32lpYt+ak57AGpyrge01o+q6zVsOY
XgD9MFdUY313TTq6EroGWbxFa4AtcpxAEiLk4rlHiQAKz6a3f32pSv/bm/5db1q32QT9+9b0/80/
DqiNy9/4s4tiBv8KPDXnZnuI0fiv3AJsyUQa6AZdA4cOKo7j/2mieMa/LPBYOiZj3wHUrHQHfzSq
Hf4I4hh/alm0GiCf/SeNauvXJoo6HDZDjk1qAQ0bcib5oJ93GlhP56LodfsbCqE6/U42bGTp63E0
taZbd11qzs9pjqZ2K2crL0IpZ8d5g2JSlyeD6GJGNbVm82BkYIGJbC2DSI/Eys8zMT21OsL/OWzt
2l1QdEVTDGZhsKjCh9DK+xkIZ5L2vOvY8tYMamO9Bkcq0Di3mzwF7emv7TlIADosPSqVnSXjpHHw
2qdO0Ib5OGkI9MshlWRIz1JEsJp/upD/W1Pn192u7QYQlVSLif/h1WYy8OvZQTVHtS8X51stxyEg
LST2BLqj1gZYex3EDkHY4WQkZfG9ISptfoQpHHBopuhbvk9JXTM9/fMhXboyf23AOSS2/4YDLdpX
/nWiK349JC81p6KSbfwOAN/Jrmu0vtlxsdVquBPom0dAoh61TsqaWzPAz9KpxuCKzKvKXqtJzg1v
ph5d1THXB6mLzRLFS79ecmAactMB3FieRetG2rRxl6xxz8sCJ19sisCmtb7SY9l7wW925aop89N3
4u2u7kHQVSgnArz3SlPxU/ckEhn1XZaX33QEve6DUyZadQ/dt1pu//nsqd39rx9kWWo+BKUHTBaf
9+sHzXnRBGgLone1/zasTQ1B2MZwoSNB4R2b2jcIHh2VP+E6udaFtRF7w32WOGX6/Z+P5Nc+hM1X
tmBbQldyfLXP/wj9NnDosi9K3fdBovw4OzBP2J63bKU96xhTeDrub06yujF+/e4sJvRkLW5CH3nK
h5NsJnBha4Ak75MRYwT/xkYEx/shqnvuhZggeL42OjbFqvvnr/qh56K+a2CA1gSNZXLqMQP+etbT
qjKykQr3Xea2U3h7NuPlU252PMxh58UoLm+mYIn04lQleP31jTOIbHlOJYNWa4WUg4g/qLBREdyR
0+FZdijgneWnbIhbf973I5Hiv0Oq/e2WpLuELsixPEMnLle9An6+JTXwZF6Ve9Zb3jfEiK2bmf4U
piJ/ASb4myvz98/ixofVjxWSRBpa579+ltXmsg3STL7hTOx9DN7Ecg73kakl3BL/fC3+dhM4PgN1
OvAKIEZ/9MPqQciSb07Yt95KKEmc3BaObvp9oL/sfKoIZ62sdYQlr/sdC/EDoY57AF03eFDGAqA3
YGN9+OBIA20BAkL7yk7eMNk1eE6CBNvzyQAmdhI3NVYBHpPMe51FHk/VumlbGiphoYHPfUyKZWQH
Ifxp6b7GpcH8yEKvNF85BbYJf/2bs+R/fDw5QGbJ6sIHvumjUvj1kjjxWGOtb6uv4Ajwra9Sf+6W
W+lOLddnmUm7H3aBpDo8a1aUcH/IkigeLSxdRoZiE2AhmN+4ltDD0YFyZnj92dkyrgaD3uH3Hwsw
bnlWF2fqY/eTjIMg6sKh8DIu+pB3WCpWZdu5vIbJoRm4IkwY1RKtSRg289qkT+Lf0Yjqps/LrEqI
VTMtEeeCJBCLRV5fErdJt6bdONyxjcAUeVu7dlp8c8feSLAydpFcYAxFgfOpTND4PLdLlXKMmAmC
ElM6ac6fMlnVabnp3SlfnplLe8Pj0OL9u5cp/88InCHlmaAJCSagWptiGvnoAnQcmXupVWssKsTP
K6hOpdj3MTnQpVsSJjOmJj/p4hTnR1DiyMLdOaDTurtuBNZGSAB4J5Zg2QITmHH5B3y0lowBP75Y
o/o0gr5q92wFGfvxBtbSsI/soUmucxuo527EzlZeCbj2/bGfevgQIb4c9SwnTEnnK3+QgpelDsKM
f5EYZLKIoLrupIn9oKyzbP/HF0AFKviqOOMDN13reqRxQh295PYjHEgtmDkiba3YsHVx+RdaITpm
oawzYOp//I6mbgAzWknkJGySTB/7OzbGxeEc9IAv+OipFizERAjxneIfZ9XOspEzp5gg/MA4diI7
lnnba3loCAKBGJljiUu/z3Xkclrq2Wv4eixd6napyAwmwIl2KDdNGrlpcV92UOG8baqc3C694NTk
mRrKIOCuiU3k4jNGPvTg30FM4lrZ0hqBsHbUaIHPbw0bQc5hNQ2IpOhjIaaIHvwc/2u6Xrwek+Mh
cssBUTWwGVW7peyt+LPZpVrkS6RB7U7XjUXvjchYjUx7gTd5YBXYtGTC8mXIElL3b2s1Nv8V+1Zj
DUdE9ja/pQJJwqPQp2g6U65857Eat2bVcUgz357/c+xTdSx2QNaFG6L85BGcfdLdKqTf2Nn3AzpR
Di8tEl/VbRFStOQsbZ/7n2G5QhUHRP5yWKkNACMPm6HgDPb4dTmdi++pey6nBLT3aTcRdrCNdVfd
oqq0Hh5rv+SfjYE/oIP337E2UDouVBk2BLHhng35ohYP1TV5TRurVY+0HahfCooGphSRPdSNKsbS
sIZHHK8mZ0FUXi3n/UB3Iy2uB0Bj/MKmlTQqw4VaTN3VVsIcY834cTGc/eTnDjvaVH8MCD0NhjXw
Lk+tTCIXNKHR0W+dLIgxbHXZHNukpgpFTosHvV5unXmeuP19yYDT3gTFSBOCV99YuWfXcYasJWha
QYRCN0qt5KYCKxbhjEZ5oVYrbLe6gcHck6TxJRDhEqDpbQOgEgWglNp4lUXS4xgjTXJtGtsHBIzw
xyj5MmWUznH1EBRNZJfnSkL4Ik6ELuOYb1iIWW42nRWnMwFedf//2DuP5byVbM2+SsedowIm4QY9
AX5LJ3qZCYKUgQcSQMI+/V0pqbqPqGop7rwnVaEgD+Eyd27zmTYMI3AwwYINGh6oGSwhJlEAEDEu
FKX3eWOYgPE8wXblmUPwmNjIg5Vcsiy9KttstHxcCEM4avGaFzqk+GpeO3ko10SvS3NcBtZQQvey
TC9bhI34WQd8EmnZzXUIlUPX8JZ2OJBZToPAnWGN3Q2C/fBlDyDYRr5Sw3yBs6BdcQ/34rAzdRQc
efmsXDOXiZoOppIzv0kJ0/Ez1Sc6LpUmSj53oSp0RpiJMSU8SbF4vD+FNZR3M/EW2Qv01gYW1NT1
ztqe+frd6l4G9MXEKcDenBvPFmPk0sKC3iIPhEuOo2mVPqd8nbhI1+2hiutDVqkRG2CY4LBXGSsw
lSE+rAGMUTyZ116mESHKFSdJM45HQkUPHAyGwzpbMQ38VT/XAUzD6591CFFfv5y57Zw2PJb4o6CA
mWbF7BjnsYDPICMAAumuSxC2RuQJ+4WHpFt4eEgxmLfjYT773DFsdYO3hLiQz8YuIO2weAK00nmD
P5d1nc/6Z5iiIPkXb7gwcOdeq+WA4sEIOLQsg1Xp7B2/Rz8hIutNcUfzjTRn54ogYdwDM8ny5Y2d
E3Z3Q4jVPdCmzVq9T0YzV/2DWS9QHm08pllDPUiZC6+RU8lscBrlZ3RhcP3r09oQmv7jI9nT4MD8
CWtpeG2l37TVFwj8W39ft17dv8z0oOd3G3IHJqCcCjV2yaBWwqyF8efKuGP0OiDTNCOdc9N3mH62
kVfDTbxyKo5V7NHVZDH/6LHyjloEA7eCU3jq6XSlC7AiktStn+GtoNdU2WEke2NVH0FqjOLBgxYl
0rigUwQmCfzVmkB3CXl+Dc9KUnVWGSdZhdtDNW/bDpVWTPgOiY2z/OXC5kC5QJXXs2la8jDBZHR2
OOcu22Na2FnLwecp/2JYV8RnHOBBVrwy3mzhcKZqCHfMK6Almj6KFHHqVik6CY7ada05bzgINKZ5
tGYrg1QnFwtNPQZrWx5nieMat7Jsa/E0Dh0qSQheINzU7cPWXJZHPRRV18agGuNeGAIpUNWwqpHy
87z+acN+o2mjSnl01yBbuumGwcTkS2+Ht2jFNDFXNOg3ePc1Imdlq3njfr8NqJ1ZdRE0CCPIdlp2
pafW7muIcxrT19GXrR/ZzuAq86iSpnOD3ViabuUdkxoJ9Rsk6YwSK0QPlGkFzj9otF9hjPzhaLc7
y1Xr5u09h4ZnetPbPExx+zP7NleYWdb9nNYtQqhzy7RDs5ScWrpP8+pKKXYymfsEyUwTd9PyhDGV
SzaWmDMbpl9WnWtC0yzIoHoHISKOlZBAwubuAp0+Qsia2A6ABnWEqwH/EEpypBCt5IDK0JxW+sHk
HFxuHfYpKnYRrOLocbO64JRRjZvaaKyibaFQR3Bbnf0xUNaVg19YG3e74kZbhccRMr73AZkJdEeP
iDH6aHmgh0WvQTI+IEy6w0BmHzB+kPZR2C5Z8GySuzESo5VMLCsCYCLzZWJAouYMB7MO2tlqvM05
hcKuSIlQonCIKVBUTR6UvITpVuy6da8DYl3ZnNEzLiGkJljcKF4Q1C59cgbdvHCnPaM6ro0vjt9u
D5Nw8RaLWyTg+GO4kCTspcFtATkeh7DQcRKh14pfsQsr5I4a2sNW/4IWq85XwwSXk2dbjb33Os9d
0x5wkPebK4AwE8eiklLnUo30dcqShUq/I9U2nrK+jcawluFurqwJsVjOQ/oGkS8TyP+wknuX108M
X3WK9L3d4w21PqV+nmDCanmPZWvqjoWHogZ3bzmJwYuUqSjC9rjmNUUHVpO8WMJMoe8AECrM1NO/
3wTO8IOKRklTmv5Qk/EX2xqXRLErLfSTkbA1Kr0UcwQtqFnqJXE/YKBD7+nHZ+TAtCz4IOaoHrGO
WXhiB/VAvtE4TL7V32g3pzm73ebCBCM6lQg9ladMemmN/Cfp6PS4+YgNQzDbpG4+9T2WFdlZYgTK
3zJVkZOCzzZKaZhaeh2LpaZfZy1xPpu9r3aAfMhSUjvR2fyE0lfvnkyZDlNwC5YVO/YrD9YL97Nu
Qu8DByQKjzoxu5wecbbXWwRouG54NUXHLyBJqhM1Cx2sD3ln6QXmJCMcx2Nn+xV5dvrjdM2mKeXQ
HNFMZUM5jiQLZBCs802FnjACOCgBkVmbvIHiW7IhJ7zqKaz+bbKSfrudKwYtwc7KuC87Bs6hU8PS
G1OdzDtS3+2P7VEql+9SjTMi2cd+IPDVV87iTOmnKZhTJFjxIyp9djVsWJZpvpITFAfRC712q8YO
m+t6ttJJ7dIK1s54wR8AfbxDRmjl247GVHOtZut5BFNikUAPBiRNsQunlpIv9cO8f5n6MXfqaChH
qQgu6yycKzFbqkSQzcVS/ltt2roILCS6BY+wbfQHwYqW9JLCk++sVndbL53Zpn7y/HBdpuNiM119
mTILXZ04+ZH5DKk5kWsMbdDztDksGRKDnxUx6v0hicGSpibVFzQIh3+l1CxMVwzDWD4709ghnIHo
AnCjTGaUI1PWp4NxCjzpjI/epolasTFbvH8jC3XRDVROZ2H9YukiH2MuncinsmV9JEOS8tW0xBrp
OuxpBul5P7kNOUoIef6Zt64jLhwcat5z58sGvjv1A8vJAyHEH+qTTYdKSUz2TlCyF5XtG39h6Z+s
wMooVcqAPOrH1mumSqdWlVGHaOGsHXjfbqemadALo5l1W4xR4feZKsi+uXlnigWjcF7IpituNzQU
L3K2fL3FqZZTee15pdAKbHOR4sHYLOOdt/jbcA5GAN2nAPAQeLXRNwT5gbOoidAJxbblz4RC9cSq
omt0JortGVE8nn9UjQvCyuzSrpiYkV+T8I9ePNCQww0OkV9dBf4oLKpk0zfdbgt8+phdtjIaVMFG
xSumoGChUySZrP45axo+aW6N+tYZw3MS7vFTSpTaG/hElte+pDnCL24rKwoFER2wFJ/RAGlZDijs
wNHMh43JQOY05YvTLrpCX39EjpDpMu+wtkq9Kv/cNfoPPaOAViegI9CHUADf9IxQjQQdEFbz65Io
XWdOmQH+aWdgKFahFTr2PO9fLvm2c0ibKqA8FbqdZwckTr+2qZCibAJTeerV9WY9vfmxNCpMIDi6
/vx0v19KQ//wM9EDI0ZTb5qUdoZM4kR34jUXiY5P6F84OJosBGti15+v9b0b+M9eNQ6pNF4dF+Mn
nEp/m0oNzJmrGdDJ6+LUON2h5VLbrERXiYxtyCTW4izcvJagMTbCZVQ9TtAQqlg7RHk3dCH0ZCOk
5NWx50dk/jn70KZkOkXyXdyKr3yvm/nXn2//t1eFuhC05NAClgzF8K0k/wJJC91ZH8dM5G+4Dw4o
XRZyuFJC/flSv605h353yCiISZANIvTNVyGNwiqRBOolzAJnXE/JCpX/2dp8vUW8JEUw6i8P93aE
gneVBbYWQDj9cRsu7q9Lru8GJ0iZFbxIkekYBTSHLuKYE9nvUxsp8nWXhOT7JBMr//5aYWjUvyPa
1e75z8/+9jUzNXURKtVTVbab9XZFzo1aJiQdnE/0JCgd1yyjSxU0WE9lf3nmt2/ZxjaCpwVXzNVo
jr1pXpckhjB9CusTFt1+ea1kpUvzvKBSOwHi0Fnjnx/tVxQzAxqw2bSdGfK6TPhoH/36klWBLlsw
rz2YJ+ZE2b53Eh3mCIor3zXpO9zDIzyEUbmN/dLNOBn/fAPfacr/3IGkWo6N5Y7rw/3n0e1f74Aq
Mass6TefEEVBlnfPLAsfe7oeWYjG6ve0ZYKLw5mHir2O3z+b4oardMur9lTDuYDzh345deHqFg+t
/5Vd3IrQoVrYqqDhSBjKuQ2GXQB2MYABiewP0dqfXX1YTuuIa9IuS0w2fuQQnchFlI9oyWcLFBGS
GHB5mmIfkMzb6pwzWgZJ2paGzq2GadBpl9HbPlWMhuvwzTyZk9v4QDr58wgHSG7L/9GgH0jtiZpl
aeukqQjU94zPtnSyjM1tQSQxobHw/oO06OlM2tOC0dFlhm5O+RcE8G8LDv8QYXroLoAl/31pj1QW
mWFu68c26xxy1lQqXQKFm9IZwM+W9Z+/uN63v3xwQi0MOGY04Mrhv75Z48ycYCMPwfwxTD3dYxxx
M8AcA++10rgxB5M7iEQVjhRRi5XopNCoan03f76Nt08OxFGYRE5IJfxP8JaU0HhdM/Mts48l3Kj6
Ao0fVT9BzrT7K3tQN3++2NsI4pCc4cQXCA9WCkSXN4vcs8w0B4Y2fJo6gIfPbuHrZVEUUmdWf76U
/WZL89cBnqPe5/nfrXvMN9lBCkSnqprJfmrQKwN+TfsSal5KG5VKNweTx15g4F3zfz4NG9bl4jrh
M8Wa2weRpK1LC4aSR8/v5YxgDX0ECNBk2HlKhYJZIrsiA3mv21qLodsAgfJaNuEUeLpNDOuN39Z6
LjycUbqcRWlq6EmRNdU6XlMQlEt3NlDEXBG5aM1U/IAQ/T8pJ2/eN+8gJK6Y7FPhA8B/+w5coFBh
7SHAh+OLPpmTllEFGn8zEmHPf37fzpv1rL8pwcsDcAFDiDj6Zj3PLThyaYnkMRBIEHGt0aV1Wk6d
TvVHQj0h6MfsvQKkw1tokC5lcf/8Vz+NukNgzCYv1xW+7mdSC0oinQ0Ui46CUeI+sl0NbFWPCZas
y/m4OiMF0x6PTMrjfCOoTYefgz+mRXqIZFSFzd7ZAnPjZ1Nb6w++uQVXMb5P4kEj6gtPOFbQmDHc
TH/JwiJrQbN/IvC3O9WjREJl9GOExo5k7SJ7povnJKHLgb2LhbxA+5fzNvj182lmE6gB0waw5HIW
um8/X8cTTIEpk8/V5Pgfir5xbdQ0bffklYEUmuWPLrhYwssVSmGyk1gCn2q8kZ+nNIcX1ARjw9AU
2erQWAM8rDPVPSXUr8NttQwocWbBZJ/ysLirGbV9nqQYJJKj2H3HzHK8d5ObYAKN6vk1J1KGV1Cd
TeXOGArn/cYcebpIeoSzIlmFptjRNSyfjc1QFAfVAsAR5N2t4FQqDwJ/qmt/7aedkmu3ZyZePSNU
Jy5QJmdKUEhFO6/FKKiIFWq74ADcyxUr4TwaMfEGpS17/9HmfH6RWWu5EebpGS2MdBiOdtE0j7Pv
jM+5g0hpFJgGym4GfbuPUKGGL+h39A+eGAbSomQ8IYxdHBgTrDJumBctoJ3D3IhGUU8XFRq0oPUn
GjZZUbwfAw8uA+zfcqdQK3zcipGWmLCMjG6fIWLTM+/QqDRfEfEfPln+Jp6y0UU0YfFQJPaBSop8
zf9HxpQsCNIvjU4jU2Ee9FuaPrqoIZeir790jYZ6OpXEvgc/KvBgf9nNerf+39Pp+5WEbTOP14QY
J3xbW4FILu0JuMoX3DVZSo5NFEVDv7by3ZJV/n2D2+d9PiSGRNrKDREKmWRe4SLsersFjkGhjdK8
dz1iPheN0flPHEOoodFuU891zZkOTrmWka0scWdORYPqnRNcNXQt7yZ7td+HSFqgG9VapozTMn3n
1PD0IsOvPZoaJSMqaw7pN/Xh+qVoU0WHfewPVuqaL+aiHFgeofM/ShG+v5Hvb580TcA6fAtlamm9
+Z2bNl/YK8ttaCfwHL2qVYjI9qb39Of3/2sw/XExH5CiTrHIn99mg8kmSKv7sPnimX4NPmsxcTii
tx3VdXk9CRTz4yVta2jTDvTLP1/b0ifjL99epwGkQSwAhzP6bUpgGf6wiGDdvqAazCrLcic7Ohg+
npZteWmssPoIbnjZjfjHAfztDe8EGdNtdn++Dfe32/A1WFPjQXB44xh/c6BYZVIzPsj8L1glojVX
NT3kZ6SzQvxEqk3tJpDSJ79WyxhBiayZ9rT1CSm98Boa0oSOuJ8a7zYrFSfkw2mc9Un4qc7pp8d9
aVzna+Nfrc56BNLuPNIDrd61Bqsz8hiMrfGmFsYuBVSW2Jehf0/aOKEOK/Jvq1fkN44v82NJp/iU
p618V7uqUrs2GfByqrLxycSG6s5ocIWMvMWaD46tZqxFenRL5irMCjwpEKRDRQ6BlEmljAD8oisY
hHAmPghoqFd5tor3Fl3tJGLogBLKn1/ub9ubdwtplnLfo5r137I2R1rCfHc/+dLlwr0xOqd4Bh+9
rsiGNeaNNVNL/OWK1q/AV5a0T5kF6hY8kgME760rrGXaFaKFsviKTLG4oG1mIBEzrsYljcriwCBC
EendtP8iHbN6ztNFXaETZ94ZU+gc/vz0v69w7gUpfLJDy7P93zpHjs2srVzm8itcZxMb9TksXsER
rMylmuYrWbv/ZRvG5Ow1xuuKIEkDPnFCY/cvt/EfXkmgQa5scNR2qD5/rfnA4gz1sPnV16T21hFl
mmy9hYKZVVd55amDucEr6PpmPOB4k+wllLqP2LJi1IEtjfX4l5v5D0siEA7dSxYnwLi3mNCtHuep
Xcria+qb3gOCysM9EuXGTjORLzlixhuMTNWFFE19rhbHulaNz5ngV2q51cxmIK8YwF3lxuh8A5vd
uVHQ5eXDn+/yu4zHL7EJMikyHwD3+G6IDuqU6R/I1X6u3SFI+UjpwmiIjkubfGr7DQXqDnImMlJ2
SW+qbhFihviTrbsi85BYB8i8o8MVhjGjanxF+tbzUWGqJt20Z/jRGEN2XXr5cOocZ7nxxiw9p1gY
iKiF+jxHuDoixZdKsx7Ru4brG9Qb2q8GC/pQlMq4hjqPvi9NKAMmHZ8RA0ESkcLNJQq35F1xi8Dz
Vc2AnlrAqdHPqroKtR9UZpm+M65+dtEb3ZNFDg/KXppzVldOH/U+QCdiCIO+2KNfe+uEOdrZPhBP
xJHQKD8or6pSfHF8eT1LlOejNpceiGjcYawzsKK5P5pear9XfZt/GJtZfRO5ndOkm1BF/9uC/u3Y
4usAn2eLg5mmqHyzoHH9XuuwE+NXut5d+sTp5qJCa4s1GgcTpr43lcyUhs0LdkHvtt+yzfTxqkpQ
2zw6GFE+u2GVXpn+XD7ZsFqZkHAKHPqir9gMaQEPuGPc++Ou/z/P4nGVX//3f718qfMG0ilFymf1
T0EfGxUJ+x/bb/eiXv7XDxXBm5ea//I6Zx+hGfnyH/6rn2SLIPyXJkb4FK8hbTpaKP/1b4uSUDuU
BHjTB973nNXjWv+WrAj/Rf1PtUh2AXmfrsv/YVsI51/g0nUXjo73Dw3B/4ksEGfLL8mMS2tDRwt6
aiRTnDHfj4J/BAwnK8Naica8RMuV5s4YIy1k7MA7IF6prEXuS+EoOPTkr+j0Gg7VpAcx6uuywICK
6o3xhhzXAZIW7kctrgvF9h4ggxDPJEJOuZsHC/a6nT7Vy+jHeeq57ych1DWKp0jKz6GRHPK2cLUu
r+FfpzM/jCcPtMwRq7Dy1KuiuUS/bjuR7NxVvXJekf9O1ktz6JApFp6trqYCUZcnp0xG/2rYus2M
x4rJXh2J2hm/FBtKYo09LHHitUi9F/KAq8OMvyvqv8xcHZS1nPEjldqMTtE41SgRY/qkrV9rHwAW
3/YhTRAsikny21JD9PMnImcXoc3fbHGfF5N3RjZ8+OL3bUc1NeK14KvsaC/FlwobZmAoeR4PZpcj
4TvZ9rGw88cVa4pbr/CT4sSvONcr3lP1DuxIflKAMwhtCEftlWW8YEGHQJxZMJfGHBRf0CYEcUcm
scTIO08I+5F37zdhDPcWtcb1FKJnYanRt84jksqYvG9h8rzVgf/AmC957NWKRF/PTEgbCEi3umTa
DMfR75PiwzTDGDYc249LAIu8AzlF3bg0F17YVpdKs2KasabRaXtAPHC4WgGBjSoNYiOV2d7Pve2e
uZzIzWOS0igsLa8ER8aYnxQPV4R5a3Z+sFJcC0R3DgHwthOi5fYHucHjjTY00B5DONEi0hOL/CQM
MyDbQfmxeUoZOGEGxYAFAaP9rFUcqHDHYjWHc5a6DCbrAuMX6yUdtj7ly2F8Bok4hDEvYruTAqhc
Mu8XM2n2HmQ5NC+3+yBLPAYzosKeoJ2LOEejEhn1DoK2hzIwFrNDEFWkY3k0uPa8r7ZkQu0gkJS5
/mOJYF7t2ud07K9dRh3RNjOpzbFd6DZ0tbB7EEudXPhlc2i8cniil3VHbuBHPZc5gP1RUT2tHy0Q
Rwffz5NDgjuZWRXDGUkNqDAApq8I6eZZuqI8oG5gX2gbM4zfrGEPYKKIarHkF2KsSL6DFgMPjKvO
ZsfWtL3KfgpX+1OjAhF3EEeiIlNGLFQBgq3xlbpAHKc4Y8L7CnquuuhzRJU7D7+2bavNfS/XY2uE
8SDkeBAb/brS6HZ5bTRx2hmhEUmLjDzNsq/u1n3wF0raMGlpkHQmIBHRl7CCRTDvQsYuV427NMgU
r/II+/pB5TDJUcOyosl2k1hgDnTL3ReXhbsafZQsCsEEGPtfZSXXXZA5vBw22wkS5a70aSc16aYQ
zuvOzew+dE51X2KOt1nJMexHMy7s7TH3FLZvQ3jhp/P9EOZnfKntXWCue45JHC2h/UPVfhq67his
y3WBymAUuuNy6Jnm7idUcKI0Ec+eA6d7buphZ9XV10qYPfPm2dsVVDEPudFcB51lxaHyhqhTLkEw
D66FRAceFT9wXQzJIjINSvgxa/Y1QJjYp4PC2pKAavge3tEmxY0Z+I+noK8+Q/vNo842wwuPcHkx
MmeJFrCkN+BzitNIwbRjV1h3adbdAdLcGwEPRVJ+swSieKl0NCvHBKnmoBiMSyltcZ/bnXfRSpVB
HipwsF1k+NHvsg+w+XGvtZdvmaqtU+oPOFIzkwABHwBZQrDgYlwxRxkI63fKmWWUbl54xg/hPvH6
u3lSJmWbH1y2hTH7MYAr9Z64glTQ5AMGk44qbgp7nKBLl+qIELp7MBGZvHFTN7vHADG87hfzfusN
kDJF/XFIbbTPw/HduqCf0KHUuRTSR2F8uB+8huhCdyMZTeYgTulwe614yUR+UzoZp0OXMGm3wmNe
qMeqKb2DDWvwgTbItcSLDkKcKp58o3hy0zAHwzC9DFv4gaTvbI/0MqU1ykNdocKZ2TMk/P7cYiOH
whzc+6ITN7aVdsc56D837uruXbB4J1PZjzLxSxZw2QK6zarp0u1mEy1V557e9hXU+GcUVDesc5AR
a0nwiLR7zwg/iRAgBm2FuNSxVBrBbTA4RxS8l/uFT6ftUVNMCb0t+FQmqfWhcgMPBLrPVjMEBuX+
RKtw2tM2vsCGXR3cqbMvew8LkI4OUwf7us3icq2CY4Uy2jlDHETJ4mLKk/KoKhMwfEhPKp8Q621L
RmBJ6EfBLEJcwMUoPgtolgTs1ghu1s0Ud1mNv8UGjfu6GtGGWKmB9rJws1e5eCJG5eBqydGUA5b6
ZAn055L2Opw2DtYiDPd2rx6mdbjpcr/+PC3NKQzWD4VfVntaZ7G3ADyPhevnl8zxzxbNs4PIksAG
i+luN4srsFdwk07uRky3L93chaxh4E80jKnzMWlHeQ8sDZSP0SsMusDt4eFUO80tPfyhpBmHPLni
XJP53JzQjyp2lmXJA54L45WdIjaT2zZe1aOZR3g6PGXGrI/nOcXNIYyMwL2ZTd9+NpoKNEsqgVwK
PA9TVKdodd5jWBacw6HcLpbJeRKLKV+NfjLSU1I3I1Ie/uyg51sxFYyEaNfpxDlr7ycVfq6N6dbK
/DxWYlb3g9vcIrVq4Bdu3NVrNr6Devh+6J3+MC5ee9Ft3vtgENXjkpcXtmGpvWZT7Oym6j4RXsVp
xikEDxar3+Mu0J+dxcC2rZ2yo1d5UMoDWaLOK3jYYWKSloKmMgPjOp3m8hljtzkKmTl888Cq75hH
2JGbOdVLG/jrgz8bXlSOOA+VgIDroPaffX/Ld0biYe7qZ8VjkzZmtMwm7u+ImGBXo6FISPbNBz5Y
EdFILw/QYAjIKJPu035ACqL4guXl62oatIzCZnrvDNMekll2U5mlu1snjmy/kBb2U3kvsniTvYik
2VeXMBfaUzFijbENTXpt2dVJlZjdGi66HQBq2vugtruUcJuNdzRsghMaYd17gFGnVq3L4zTgcKKF
PCBVAAq9wgv0S1cGn4nO1aGDJbjDsnt8ygsLdUgnPMqwX3fubOT7REITKZg+7hRNrjiDadLERlvY
N43j5HFru91VgQ4BoN5hvULzMjzNrYWbXdZ9hphvxeNS5datlJP1QIAclr0zOhWGQWrOqiP+PsNB
1KLk8BqM5mNHu/Myxf/3QBMhfzZnwPTgdKtgiQDuOA915livTeV6rwLvrqjb8GlAN6OLDKsiYRh5
57ZuBW+I0ZIATxf+iIJJPpqwtux3CYUKdMW56ccEf6dqV5N5MOfIpzTD5ZcpTXaJy4J/KCnBH0KD
RJRGRhXGdTM9Y7Z29uz5S5t43nGwutdQYCZYK7nsR/wnzknT2tG2uCGKlOaRL3fhFkJFIbJHu6pt
i2gR46dJ4Vlmb9oyQiagtasWfY6k4wws21MGzQmRHIkuVGBVJ0fZIsr6YrrAr2Cf9M5NkRXOUy68
/lhJL8A8q24vIUPVKOyFD+uGrRrsg3tk3MTRtF7R3yRpKpJ2X9TJk5ViClFpSwhsbHdeJuVucHsU
W4rkovfWZo986WkDIhrX6F6j/wxcvDUaiSvrtAu0IUfb43sD6AU/5m6Kgq3MPs1aGogk/2CCHYvq
UD4tLYMSmFkycvP6cvZyeixWUO8oVwqWiAEUPPUl52LVIm8i7sO5FkcvhdjZjE8tMON3hrfdqZpa
xUY387DMSAb1Ej6NWMEcSLe/Rix5OgAws5+ruR+YJ9X106KwKLNtnEyX1RB6QGdETlvFRYZQcGTT
ELkq6+2JhsxyaAfyurxN8i9ljzcqsLu7LWelLxUkCxObMA9i2pNvVVddNoqbXoQ493XNNxLgQStn
YJmM8FhmlBjdiendkg3ZYavG+glqXL6rYIgcOoFbkBAkPHaHVc5qFNV1mRJg1rmsD4z9uxsvSF5N
iOO7sFy8IyPR5a5bfeMQQnKP4QKT+VioXEH/ummw1bmxMTSiQTTH20CnOxPmemMX4QWKnXhsAPeO
/WlC7C/05yv6q19aao7KMj7awfaSSu/oW8N4Ram78jJKdJe2cxKU034zjGOVfTOCDoIh1Mgrayjk
qSv72y53LpsFDaAw6/DPmHLzICUl7mT3zpFB6tFuXUiLRXEZgFEiVzAvzDJ4cv3MwZVxe1n88XMy
pq9tW7J+WuduVNd+mzy108bAd2nST4ZhT/EoqrPCazxOHf9qC4MPgYSAFQIxLTkgIzsN5E2S4LZt
IB1zJYS8K2YyNMaMZoxtDEMjZLzMmzJpZ1I043b0uilAxHfZOBYK/KoweSM8mIbMDmsQDOeeFfxp
7bOvTjmzRpJ5jTLHHvpoxhVnijK3/ohIUA17At3xG44tsUVL61QkeW3vQ6nsm7tZ2eo0GQuuXIVX
HovcSLGQs7G3jttSyY/2bGHMPk94GLqye5ph452nKZvOZNblOfSz5ijCRhzkuqWXszl6B9q4j2u/
YY7Zhu/CYCxuId1b39x8GC+3LPcupBP0J7tay4uxTdaDO4v+kblKS6fMfqGOL67LBspJkprvti2d
4mloU8DI0F9Gy3avAXeIfYdbEqMavFeKiYpp8oVxUGga7pg8kATgITc1jtBAagqrLi1wJ1aoENOF
xxfefIeIGRQwWTh7O6uSd56lvBMwldegHsOotv0XP614YyS2181YNSd0gM5uP+FKM083Vt2SWgxo
42Ei+gksQr7rAt/ZFUyNIyQrG1Khftsh2E/SHc4xzLs4RRqA5VrPB8Ekl+4ATNBlKQ4Z2PozueMZ
N1A8DXECPRCu3D0RfeXTu82+KvNjkcl3FFTB/VgY4kg5TNfFWQqw7mFINg3B8JrjmpNopmK4WYfw
Em4E0I6yEDuYCm40lijdT5QgrWV3lz5GWxBnqvw0gNyNe+1IVKrBvFQlfe+hdb5123i9hlWPEHT2
wd6w5SO677UXplZ8utzaEuRAWNp7vAdR+JkNC2YUTuNaq+NyRlc5t2tkI9v6OvX85zZAGo4cG20l
yfIfFnSrLPNIu3hChM6lnnGz9TACnI2NYLSjPFdft1beea3CSgmj2X5FACyF7oi0IGJwTgN3G/dU
WKs8XkXLxhliM1uIyq6ZnLK2wsK1RNfOWdaLmZ0ajwniURAIiJGu1e9IAl8nv3jFnuociO52Ue0C
rXC1d5SRl4ToZwmX9CDGZU+5xUpGSStW00BL18rNm80abRg/M62UjYNXKOfcS+t+LYwzRJj9Nnkl
QGSrCSl2tuY9nFNaJ/M8Bwe7sh6Jnff2moJrAy6/Lz09NAvmOO0pCZVhRhvmWGA9KFQhHFxkgGbx
+mleG6Re74rU4EMG7rGbO5yLFmd7YoJ+i8mR2i3SsnfOYB7U4PqR6PvCi0mWjZ1X+WtEkVM81jiD
BBZsws2+LAPvxbEQWalelFUfRxV8wxKUIXeQA4a3NljGdbjriia2mGPttm76JhW+h5VRfoKWlu07
gW7TII0YegQ8KM1A9bcCIywm9kAILdzgiFqf8OS+7ZESmkBv9wAR0Bb139XjZF8Y5PUyWtIKwbKJ
wnzq1p5f4iSHAocjsgkTq4Fp3e8y5Udz513K2rrsTTf2CqzSQNFU44FOTnrBkYXp3Gb5HSf02o1X
BuZ0RzFgdwr2XvTnvOqS24Coxmh/sHq3Jj3usgDm0uapR0N49XCog8FYD71Rzj32gBntNo86AXNc
xMPyA8Rdq7PhzU+rm0j6DiPkv6vRDwQOwgvU+qvEgvXZ/5QV/W/2zmO5bizd0q/S0XMoYPaGGfQd
wBxHe0iKRhMERVHw3uPp+4NSylIqb2ZVddxJR9SkKjKryGMIYP9mrW/9T8/s9+/VNsruvgUCvFFc
8JyL+9/yAX7/x+73vIBtAv6Hfwi+kZ/Pw3u73L13bH9/zKK3/+e/+j9+n6n/s2k8QkBm13+NPbp9
L8uOxL3XXxDS+m8/+H0gb4kPgFahlIGgd+wNpfD7QN5WP0B7Qemtg4VwJFfxPwby+gf+FbrXbe3P
NnIjT//g9DsfLI2NIGJ0DeYgLde/gz9ik/jHebyw2TyzMNBUaLCbmv6XBV5eGB2aO3U5yM2X4w/b
mIwqeTKudYyXTsBcggC0okjaYjdBY3Bcju72KGykILu1QXHkxblKfdd0fS5J45WmgqYVimLrvNX4
8G8m01wuiPtWfZHgtcA2C3eEWI0OV762CH9lcFizhCPGLrAwNfQu1FFND9oU5CusjOqx7Zb2tKRN
fI2UUQ2IwiNuVd9GpAKES9ByD6YYxYvmPspa2n61cRrsRLNqvUJvJFQ208iaQ7FvAClTayfzCcwI
fWZkh4QW813RtOhtWpXkCjip9SyXKoUprzjikq1fSLYjCtnBtQynwwaG/Q/3/iRvyQDNL0Yyfm4w
7fZX49Qpey1MVw8CFEV31Y9zgCEi26UWlERP8qV4M1565geM76ihwYI6NUPtMZfGR7vla0bqkfES
eqyeSjMa8MfgotJpMwPd4ZsXidBO0+oUtz05AqwaV5IG15z84sFuwbPaJHLi6S9P0tJrDw116BF+
a9Gg6WrvtXZxVcJ2VYPFMon4aTMW/V4p1SfwU/3lUInnDoHivdZxKu9t5BkE9ippVAOAtLM9LZzx
OOdkPqZIg/ZFHaUsBNYwvMImlviLodL5V+V6hT+uuyMNxU4D0wzlyUBD+BXcdRmIQruzxluicEu/
m0SzF5F6K4YhqSj1dONaU7rhRSOW8GNbGPMN+mXpoZcMMFhgwyT0B2xmX+yNcs5PHPvhpQOa4yxV
+HKZ0J8SbOY+NsAM5MKwMNWLwvtlkKBWFVkcJmJ0COztmSun6V04NOoNtkPLD2cxHSOT8jc17IB2
evLiQa38cK1gzGH8Cg+pE8odIS7ZV2ea3rTQUXaVEDiH4z7X7rjIo61aaIiv0lgp5KxLiLSf/Azl
kg/r41xxtXma5VxUGxsMp7jpK3H3vBa0d+tMCxLrJquDxeZddrH0oiEK0bprySnHQ/MMxhlKYR43
dzKv66sFlSmzOAxRKdLAoNVm6ICija9Rf3PdcNlC4jOJtaxBnLpDGSfAEASji5qxSwAeZ75bph68
eZSIKtqbolgi7aMd5nOy6xxtMugkUdaag59OcRTbdxPsExNQgEKZfK/rmZzuZQfOR7iyyWLtURNc
C4Eq0+QC6ZV17tlxxE+zWAv6Do38vB3ZqagHGRAtvP6YXDOXQ1Jm1PScOZ0jC47QiNsAIycy0Nkx
yvQ4VRuzPK/WlE+Tqgiw9i3QjPEeBqaY7vssYX5EfKaSGkxlkay9ZFnfsu1Zx6y0ALJIRG1LTe3j
j50+82Qbkih6QTAXbU2qlvD3UaqCyxPvnxrMC8okvJfJzMfHeWCRcZWWth00hQEp9LCw1HgZKvb1
b/h4tcx84TtyBibaBKSfUDEZaILKMOshQ08sLQ4R8eYJVwjlXPhQZoOJAbIxwFXqPXHe3FgkgH07
fv6nz+Cr5A1aRPW1//UQRsX8+xn8X/8fndQGgmpU9H99Uj9wUr8jKX3/eW/+/ad+7M21D5gNUB5t
kht+2fcAPUclW0/CJ9tOcGJsttP7+86cvByI3WzTBf4mUFKbvvrHES0+EBIAu5wTH7qZ8+8d0SjD
fz2iYeaBukd8hxcMSNwvKg6UuoYST7I8ohUnlmTPwoMDJcAWDmC+L1RbY5Jg6dNlry+LV3QNrtlu
NvaQxaxDUwjmzTJkGMriX7vuGmE+zJmKWDJRSz+KzI4I5RbHCs3fM1ukpuFZLo1XB8rUUa/V3Bsc
OXkNuaMBIcFfhrLujyMowr1MSlITbGC0WpgxO137Yb9gOGUmYojKXfEa7ihgC6SCNsdaulTPom7s
15LJ7HHAqrlTE3M3dJblq/2oemOaRDdaG9qHEhz3gw7RFYVqJ3i8cuNUz7E2NHt9VNZTN6Lag9hj
mp9D26pZ3hR1zmiwjaKrql2Ibk17m8zAVb0bJuKXyxwZ66A5VypkKOLAo+hTzhDJdYxsZG47sOZL
mhACvNruWwvV9pQIL2MSeq4AHRzbUi93JohWOIyjdoMU9BSVGaHRc3YLgpFjiSxVV1smO8ijrqKP
beQ9u7EymBqhejy8xCUMlu44dKsC/GXVTiKLlVPesUfI9IaJqJKuPhOW6qoxcTIENKiMBEglfNCS
WgTQA63LKCzkXjCr3umNIfmt3XquR727shIFV+ygP5hzMWOjHcxNGk/HbWXdec0oYKbFzHfmUM2+
Us/LnUhS6/MQ0uWUyye1SLq9Vhus+8ZI32OKCh9HwDQ7YtjML3ZiZsvVsOjpVcQJ7OYkkqF1nfsi
sIuckB0yqg+d2ba7xtSpAlQKN1tK3d3S4+mIW+ez3ZbTV1LJnN1KRKHtNawsAu4bcRbL1OWXS1oj
1dbSjxhIl1cFvRkL11WqV/A0xwt7I0VXhcofOXHiGrr4ppzXQ9uP18w+hapZ3oAHq67ySfsI74Xy
UTFEcyA7KDvPVaOcYE+MN7CtnAvRJOaMPl4wtUxwUFqHQRkSuin2KqPrDOCmvBXc0clMViA2+uhw
PLfGLha17elawwHRVHpxAO9B4URyMeN/MTCdz/UBLvi0jrqPzsryO43SYdbJRlIUeXA4Jt14KJur
1tRfq5ys7UuWyHN8UWv5k5m0FlpZSYitrSmsxwdY/3uo92kGIdnBZ/y24qBNgihc1pt1nLvbbtDt
4s0hjX69FIDKSrsfPsp6Nm7RLcTtwDTGehBhlwZ0eloQ5aVzmipLp1sNu3zxMWzUd/Ws4OlCbjdG
h1pYWftRzyewKL6kgmRkUUKkt05lJ+1OQXOQ6uoND0q+92Ks1x04rdJswcOH6ssaN1PvwS6Nrhmo
FtYTrFK9gfovF+1czs4Qfkm3ibtMVsflCUfXLRQRqEPFSjuUGaNvxI6u0wot8+YxR+Os9ihALSVc
8KuXI9BsWZF171b2gP5/HL4Fx2CKFle4o53HYqlJ4dAsZhCVumjRUYv7zW+Bk+S27C3xZUFTlO1p
aNBqWktjlf6oJA57Ry0Msc/LjJdc86g13WJWtQcjovbzsi5nIqdOKIt59kELZ/+DjJGoSwSLRZSk
hjvCaa9u0JfoFVOMoYmN/lu+i+pX1agwd5+tiFSn0rzB9D7vJMDpQFXzkVmR5Dv2TC1cHvLJ3jaq
ChPRrGphS62FM+3xVppX8MqbY5Y43PezDH2Z5dsyYzCsPTPGeF9ao72v4ja73WiQa4T2CjWkrAjb
lPFFWNeEhk2bczCnDeSmgmpP4jlUO7dPTf1kW+1eKiXWALsn/VOLzCRoo8pQdiq4/3srp6sydYpa
Mhmk4ppKWV5b8cDma7RgezH3fZFpqDPxNbC8IDJm28F8P5tFtO/bHknDug5AftDUArtams+cUe21
iVFnN1khsdOMuG1XVxv1PkJMsZvVlHG2iLqzEMi0VICdxxyhwE3V28ouZ5JxGkk8flt1U97Ca/E7
C3w3j87wUPCrnjMLNwTjIPtl1BqgQT06xkMqm/kCvslKcphuEzBONGk9LemnmNb7JJtqvBbEahIc
Idy5V+mIeiPWCHMgZyFIlxBog5PSXQJv6fKyBqhT9UfUx8MeYtkKsa8ACptqdA1oiUaPfK/4xiLS
JPXbWWdjZPCIR6wu/bpFajrx+vezI6Sra0i6oXXEt/USTTRSW0Ioc6k9EHV7V3fZmLvaJGIejat4
Noym5SzE2PE6soW/wt+ivY+DXu2wm+K30kLtYHaN8QQioKZZZPRba120S5O6Dtqyz68z+DiPA/fh
FUaO9hZjsXMJ5K70VgiGl9CKk31jxON1VsnVk3puHvJ1/NTYIrlcRBw/sf9W2QtoDr+kM6kEipVO
1a5UryoM9boj/63f4Cj2LS7CGTmD2b7aVslYwMx8A2rlue3kvGnkbPNYMIM6Z2a8XmhpVn2eughP
HxkiQbZU6jFWo6cQDqqnlYVK8YAuTFGWjTKf4QRUNeV5LkNSWeOquZpLB5SGggNhO/0bH8UgaZZg
z9n+af1HRWdi6A8d3iRwUHPgYLVDajubzCvAX3rsPxDAQPfvvaZA4my6amZqEb9NxTlu2NzULbQQ
VlfyVZ9tagoBRM61gLFyurVoGbmrzCW27o02tSOOvKhg5PXQmUudnP9T3/8rSW4U5Ztw+a/r+2Oe
J2WVdD+X999/6Ed5b6FiBaa1sV/ps39ikCuO9kHiIPxGQ/4mff1HiS+Ia1NxacKWwLSKCR1L648S
n7RME9MRVHN6A0S1+r8zhUOX+2uJj0LbcHAUYgyl33B+ic9KzATJudbFp5kAYxRgNfFjMl2YJTcW
2rVlJsdGDKlzX2cNmqkeimbokV8tZz/q+qo5tHjOQs+ucvNE/qIIg3ys1sntVXU+Dwb7/r2Wkg12
zuA4PTUl8lFvrMEJwo6kt2fH2BGhMDGacPNQstwAKLUK/KmDSeVKJQCvtF2Pq7b2wi1T5oIrbOA2
gHpCOUgLHZ46jKAj22qFPX26WG92zt6ktx2S0FZKYZf4gb7zFpgK0tciCCmXDjZnv2PAczUJXB/F
ONx1ua7sLCykkcvoVWVfjynjvk7T5TzHan/dRjrGopSnXGDNFcST1J5JU2GIFSFwSOu7XNbjnl+P
rXGtlkM0mc5Jr9vkQosJmUzIXHTjiuKWECxa8S6mL+knPdN8ztdmJ3pLf8rZGLkJUOJ7TZ+/aTU/
RawcbiT5nX65GsbtwNr7OFbMLmNNv43NtfMl5VKgLInpzljqbw1Lya+NcrqTKvIrmefkK9ezFb+Z
nEl7gffWa5m3XmhFkfsUpc3diOaKrx2mwVU3dOIaDozBexvW4RItQsPy4joEyfsV8a9DkpIgsFQm
NvsYq7tjlvwmwxBDNBAzj5gguLJEzTEDWZ8cwdYL20JJQok8jROFjUXVcp+2nYEuzpkvjNqabqFV
Nuc6iz+zt4pfZWUiWI7mCxDrqFKGFlOdHpLtbNbKGVdKcZ+37OrKjJw53aD36zchQOhk5xYyxLWC
sox9f9J9zCDyumw45usFb41fz5JlHDZWX4Fr46tjGD3AFcV5lNvsL0gUrxx+bZq2gVrX2oWBL+u0
qAO+0Xm6iVhdn62xhNa5zKFzZyWyPqOnIT8DKXHo1tG6Xgs0JF5ajwp2sLnar8pQ3qk6V7RlDv0l
KUfiAiqgy2mMPIfL/qpiPfUytpZMAqXv45NgOIT2gQgxFEaj8BsYtHsOTqKrmuEC+1Z3UmPzChZR
g17QLLHcMeoEaDUrB7K+sXN3XIP+rCIvHsKNSLb2j4qS7zAJ3bG1UnehdSFGhr/AJJ4XoK23sdHe
KH3+qNEu+U4u7kgyz4PSrt860mGPRVo9LkZcop7sPhUW5ouN9kCnn+gXlJSgQ7e/1PJFiVj5MOGk
lh3UJzFsgu3FCQ/1NCpXk41ALhzqaBsGvoCG7270uph3lJ2Vl2eRJD6jE4+I8SdvTq0OQGar0kqR
5ZEqJyuM8fkm+guzhyYYrAJBjNXox7Q7rX1y2Rc9rVG/ukuZXJchGgGxadpaUfjFnJI6QhG9yyYG
xiJLuzuSgfJzbcvoOKZ8zcuaGUdGIPMZzuS6L0lS9WvYFHs8YWSYtOOJCch0bBeGmD5U4+k8if5x
gNl9UEB+Xk+c98QdsTMTk3qPUk7krAS1Vk+pEiejuJwqeV209ueqqSQz6dV5SI2lZsdd0pfZSXhL
8ZrcyLh7LUUtjhIMmrui6zbrUUIgZR/3qWv5yGoR135b5/oFLVWxYyzFJa0yTxwLkQc53O7bhceu
G8887wgFrCochMundUAGOoY8n8eBazBZ5uUT1C8kAEWiNvdNO9+XKtk8kV0WN7A+BSZEJx/q20iG
eIZqAq72NesbxqGSjJtuTatjnY3MnxMqO5+0H+euT62vjFNZ0OqztptiOx/AJhPU5JKAzI7dLPFg
eSJh8RF51SDTwa0TU9mx/1x3VJQFXOpm5hYv6wkh52OcL50mgCuW/akAeTpwtijNW6aAOkELkw6M
TONJN28oyarBTdE4HBDvpSsVUmueZw5sSqKQWyRjo+wc236Uz52WtKd4LQjjoWqVn3uu/sRjqoMY
TFNCS7iTWVt3Tb7JjEOIc6cKyvKpWcJNNkG+/SFsKL4TI7qJ8yG/txn+0vGMirUnDY8L11mn+KW2
RReMuigOzHrjV9u2aTkLu01TL1p6cRkZLfl5lqip9tYJV+FYo1CcjE3NQ6GqMFSplq8luQgTEE99
umKl3mEg0xt1M9/NgF/x/kZuKgeGvWJehyc1NJrXplWTF87kiDK/GK46Yy1uQkr2ryqd6uqj4DDu
mOCNTyQ9rNeFah1x1OXvAOjMLxLyKTmEsYEqaJBjHkSOSGh6x2PB09aDVacv/pKzwqGF51uE0RHb
jwNb3svc7PIvSkpFeioGHcGUiQD1HDLme+QccYIaPcRuWBZd8WBf1ywiMg03XUu2zluGo1PwMIrC
Rycrx9vZwibjIgtVbpPUhD6gG0X7QheUXeNtBy88hj1xzLpTrEdIKNkX0TfZXT2V94OE6IDMPBtP
mUaGGwmg3Kx11Tc3a2MgmO6mzqZT7JKwCBZcqVcsNKYXSR74e2jHzScblMcuYfqEHt8p0BjOzaKc
Wi0db0vJ88Y1QD6/IcLqboCTsB8xFLs7DNZStwdLmepPTjSj216IFD/WWm9MfpqkzeI6VpE+oQoV
wkUT1d+lIgQxqcwGgjA4RkfuuSTdD7paL4A7Z2AgWewEhtWqL6HThyIoE5WhiDYqxBrmIrkLnVql
VUJqUQ4DzTMtUgr3IkYRLQGJeEamY2Se+ubEFML0zRrE9DIOnQ8IysSeWa9g2Fu0QWjSkAjofSBj
+nxX6+qzNnQ9IkHpXKIax1BkhRWKCQSqGHzQtrkFpuuXrE0RGiQR6gvUBV31nC16XQa9cPAI1Wmz
vpsUUFcAUaEA6Og2o9j5iAKqeK0YTu4MxOO5zyMe7feCnFzxJifjiShBpx4TS7WunFVYn0bZ5oc6
pjn19EiuOG6NxfiMfTG+6EPNeHR6cFOuzZ5O4NoZOxcxZnWIIFIj2VuHzD6kRrzcwaNuRm/WY+11
dEadiaOsP0Ui7M/S6Qm5S2ddfRmg64ZBpE4D15LaDS4QK+2L0wANC7DiRszwqjR8TgC6f1xWzA9k
H8TzxdANyx4YuxL7K2nrBIAb2TGNsluVUKznprSuSSnwq7hAnGVj4GE25hH74MCJcNTrwRKRHzlk
xfi01fqNmVMb2thW9o1JYYE/fRSfHYthA/acOnokdxaBCtooBOoavrTF0zpcRxgko+uu19dgIs7+
qKf5uF+F7P21NvLdoKrDJYyKwBza4j3GoMDkcTCtd0zrLXzurow3sm77EXNr+Jlo+BAkimowmRLO
2nk1psurWJ+zY0SZ1UE3kSpi+jZKBTZ0gbhZdcbSJfAMV5wS5zxajOmqCpv4KQ9hNidSjfdqIhX6
g3C4bOuZSFOWV/ZF1haOF6nUiCAdT/bKOn5Xtg2ukMTBDAHjMHvumA8APA8nnLRxInssz7VuBk24
rheZotWnyRTaJZ8wv9RFkryFKzFJOPr7Q1E34CjZ4x2bHEQyjMKnGgcuZj8dXmxkNNat0TTKOyGK
7W+Qlv9swf6JXgVeOJ3rXzfJ/nv+Or22f9iB/fYzP5Qq8oMqHGHQ7nLu0CSjOfm+BrPkBwybJs4P
4CP0uizIfmzBnA9sulgcsdGRlmpsGpYfLbJNuJem0UGbDNYAAhr/TouM6uWXFhmNrqlt+g6N4pSO
e2uhfzKOZukY47p2msPCvOW5T/Fg8HA10FPMa1F5s9UW/a5ultu8gtbt0X16qmo5cPVVPOFjwqN6
NVbtOUwGkl1LbDseOIPpfe7xn9r8co+ylAVH1N+WbF9w4uWfhNLavjFgGi8jxIFoHKKgnR1zcfkS
E7wXeDXTfiovWYis13kqMTjYg7oeLJIwxEZNa0/sMzIfCSl6eiuHWRy3NBaO2V7MsLwBm9PlKbNM
9xNvTodJYdZHNCnhkWV3f1c6kTgBmfuUWo3ynOSF8hA1JU+kZi5J2dUj9iG1gXq9q2/WGURTMXdn
SpAviLD5kCGfFKD4WehLtnMcgvIWaSikdpZYpKLsK11QgiLG6WE5w2MKZM3iQ296WP8rrx6P+tkk
EIMo1P6KKQP0fl0/J5r9EI7DFToIunoAGVOzapcz/E03p4jAETFt/0GY0VJcCrt+hgYJmV7r5xOB
C58cE44DY1c3N4xztmSfGsk83Kqqe+JO1hdSsFS/hh3kw1QaeIAuowfT1OMSfJiNMEAgiE0kNLe3
QJsr+dVOsy07V4sFRaZQKXKo3Uedkz9Wy4AtmGIcyUgOWJ501x12Mxb1PVikWC2+dmt9i1B3JThF
OaHVbl4robUPOFUQJieEbnpGnXNy6PUtse2H0F5t15YUNThK22eR2Q9ml1T7am5BfBObC2M5s4IV
N/7BaUw7aHP7Y77WSuMKY/rIuRedBOlllkfEaXHWnXB4U1SQEh6Fl3Hu9dy4LhJinv1Jj7EbY5Be
gzwu741NLgC3rEVKWhmMSXpn19lh6UNZAhjMneOmjNMpMplBk57QOPu2MWrOjVrTQP8sFTNqabu9
PZoVDrN5uEA60UPZbxX50YI9eyEKU8Ut1o9+t/QJzSWuYZ/Ii6raaYiBKMAoEC4IiZD9sUpV5lPE
wixflVKuCmqhqgq/Lmjhr3Lk6ky2IdUGucUYxdXgIdRFqt3/Zxz6r4xDdaEbPPv++kl/EyfVz6PQ
7z/wYxS6qQ4Fcm9wMsz4kR3+/pi3xQdkDjyyrU29sD3pf3/OC40MR1SHjrGxTze14s/PecOxeCoL
ikl+HHnCD1Xm7W+kEASdf0nI+yUrDZAcgCsbrin0W5qaTd74h8d8OCnRGJNQfxzxuKGTSdfsLs7r
8CRpEDxjkR3CITJNmOmtO22awxN5M/WL06nzR8nI5IWwnO6JgWP3FM2qHvz0TX5/u/8LQ/ltRevc
/Z//vUkt/oE7+fbudJWPzxuEE2Nux93Ph5CDzi6EdCWOKXD0VxmL+bZhv7f5jRE4NYSI72kPEBET
Nijcv39tSDS/vDpkB3p2ZrMmyBVTfEP+/XQEkk2OCwkC+zGMwmdyYrAa0EA7V5nTVlungUiAfpnF
ibGY1sUsHMABaZt8mtdy/WINmIj8el2I10OlgKR7yPc9YUpZ0DaVebZimxZoHhCbh+TOXyIJYESi
1hjgMG+5aJkJcBBjV9zE+gIFzNJI4VDthh5rQkCIvorGntMv5mFn9OzZR3aML8w0sEZ2qBHWzq4u
rE6sJDDkw12M9n/HCJUDQ+kNO9tFDS4Bzwk5iI1EqE9K2yqYLK2HYV7b3BMrSTQM8erymqSPKFDw
T45uC5z8QC4AQkdlNdwUCQoiDWsamaZsUet1XOIzQ/71XKZ2QTI3ArdLOaWhbyITeUKeiXM9UfNJ
Za8Uk6bDH8A8kJK0MEMhzWJ2dBiIDAE6l7qouSMWKT2rQLY1P40aFeOKavqY21XypuPZCaYBqNRu
NGZ63YRb6W4O7Wh2w6Yxc3cVcf+gDRXc896ahiNlTo4OXS/7uzkZbGYgxtSFZIGhrAXQHdoc4H22
yfHMGm2siNbNINQyloiiBAgOjSqTl3bFLlYz9DpIWA8Ku14Ta42Uz1a62EEszfI2K1vSvqNGbxku
AA4UG+WCtFEmRWSStbu2R87KVFTZrzq1Q0P4wS5Tkx2HwehzpzrY8KzibtWXkZCeakhPa2qnPgeh
9RpbfX3Av78GTl73hyVpq3WHWydiS5bqi+k1o5jJdWvKbm/3uB2ROcwnh+ysR4N26GBPMV7v3JLx
O9O78QbE3CwZbFnFO7SszZDE/MBt0Box+sAZjR92XKXhmhYmZJ977z7+pgHElzHQtQG1MKd7vL3J
XLss+quREKOwIfJlDkvNtes++1KmcUiOdt+mezxe05csG4vNWU2jGLs1yTbqVdc4bfI6JnmOY7cc
hX7TdW14WofVOOaqkY7PJvM753KRevW6MnIemH4Pc8td0Sj9WxkOaY4Aum/Y8fdkVgQ99holqEJ7
uRoXAiXAc1i9FgyomZJ7qOLLwqxtG4ErJBxjgCnbIvJbsEf15uBmuInbWJauA9eN7JgpUw+kk8Qc
BX152RJtV/sUENUr3KHN2bzkXOozsokl67I7DdQ3D8OYz08MVHmTroN1rQ9Vg/ODUQ5+yO2zIRZF
tBSuGtsG2ZFqhamxe+oTk16zTUbePbHQ66GpYKMk1VS/dKGsXqYRPQQkg5GRdzxxIwdIpYnWGdR5
+KziwlGxsrZSvXaYxJKSTpjMa9vlDvtwJSeZanuUO3xy+BzpoAeAn3mOZoQeXbOsWR/zzlBQB2cU
x1m3n0N8NKvPSaAtr3IYWrXeMtFV/isjPlBwHaH+YPVbaes0PjMWz5OO3bEsX4elR5KD4au7AE9l
XjcI6UZ/hK6s7Kahh5RCrQ8twtbzm6WMx3lzCjFM61hwnVGO6jeiqrixktDOb1qZo2orEQ1LH7bI
eJwrq9dddcQZelkorYXiinfAtVswTi7pahAZMObdOhAZDn7ZtdYnZSxxwvHlZI6Xkxin+ZVtLior
oMWm626s6aXSlOo6Nhen8Al9qwgSVAWTgFkPMmJaP3csuI15Mo+jQy7PHlDzdB7M3Mh9BQf2uLdj
u2GuZCcF9XjlMP5FrrHTBnxYSOtCRsPKUl7GeDof9Az3N+rqQb7JsTQxpuMtQTySBaleKauXoxq+
FHlaERo/xhhKGLi4fYPLjlSdGlXx3LKtIczpCMdutVwuIOUh45wh781wCDdwsJ+6WlNYUNllB+Jk
qHRMVkvPgHxfTsbC02800xZR7hp5QBvEbg554Hf4E57+Uzj+K4UjHDCdeuWvC8fH9xaB/h+YVN9/
5seIQPuAOpXmFM7BtyLwH7WjBSeKYF3VYuRjbmpYXukHXYrBgib1b4S4H/ra7zMCNuxwoMBJCklh
g2Lc+ndqx600/Kk406HyaohueYeIeIVQfykdbW0c1qSy5QHXKZybGOcUh7TxT8qwX0tA6OBgZU04
mAZTCMYlfywBw4HHtIHu7TDAuuXYUB1awjms4N6M821BXMExp1Zp/WqlLv3p7/HflJ/b3+vnj4hT
llAIAiFI2EDIwJf9xxePgctBObCdQwT8KttZLWCpcdZ4XVR7dylmmVdGmjVpG2Vi+OiukvdZ6Uv4
Q61p+OQVsaIb0mTfj2RFGI3SnAbSAG86otcUL2X17/VLWwddFK1XCHPDu8LMJ///4UPAdyfFm5kO
F9Iv36DaitoogEQdsMfqwSwoGDBKCobP0/KxMSifQy2zjEAp6P01YnNfJgpv5LbRwvtLnPnWLPX5
tuogDqjjSvKUwxJrRGN8nB1i6exx0h6KZOh3S7nCg8WEmez//jMw8frT34GJGK2KzaTH/BXJ2kF8
HRYL8kLCes5vMeG4RI0te4v4n79/JXquP7+SrZKMgZZc/kn8LUetK2pajsNoRCo2hIY/Hjk9J8hk
zVmVUeH9/ev9chN9u8Ic2gsB0JiL7FfSra51ZVkoOa9HntKZJwoqvoFK5+9f5b/5/hjkCWNrNUlO
+KaH+amTcVoeFwg67UOrT8me6f7XGpLiIevsh79/oW9xHD89FLbPI3WNSR83nvHnh0IaabrDntI+
6MQOHler03Etc80sC3+4pUDmwYTMBNNY9dndMkr7ss5RrIlUC+/Q7K4XzPiac7uY1CXmKDvwPYk6
kqxprIdo60urnBMs4dr8OEYcZp6xqmwIonRaQbFEvMhcC0QPto6PWTe7p8lck8Pff0jD/pN+yFZV
QgnwddEYOo78RT+01UVDvLbzYUoNvHVRNR1R/3dHcETZrso6tvhG9XVmxbGJSGkDwL8d8iIddqNW
97usbtvrGmdz4uJk8RuzVJ80nXBY6SzikzUVxZNsTKxGk36vkVCK9o2sNq8l2fZBVzNnF1NXks8U
zx/jqERvz8Rpn0U7tnfRJx5n2cHspUTAocvDmFTVBadLzJYg1AMD1elBQcXnVfArglgX2r4zKvuh
DWV6TJW08EutiXuX6d1bzMGDwSGLjoIwnpsa3k1D2qMlLlEuQbsOTRnUrH49U9SDZw4mQIpei6pD
1lbZY9+h1G4QbJTFotyw9Fm+LAu7aJRKfRBh3dnLUKSdm5ox88qsxqUFRvwMokZ9qIeueAIKxsxU
i2F9ZqqD18JpY4DAELlJdmIj9WzR7fpWoRNE5jj5MV3S+XIF9sJyKbMRQyWl4xokdt4Mfdl8LqHH
vaoNVC3WMuQ8Zu9KpthXEIAUH/APPa7VnooC/2Juag1GAec4jwrZsGGNS3/Gi+RGNMnMlcs9DsjL
7fv0qzytPTwpmDArulatMF5kjO1RoJ86RlnBSDasl49KnlGxavRt19qgIGZkoKkHKueLx4rLgDXh
2EeUp8ZrG5rdbcr3VB57wsa8hvCQh0yQLlVzRYx55g6NYfxf9s5sOW4j26K/cn8AjkzMeLw1sCay
RFI0RekFQZMW5nnKxNffhZLVV6JsKfrd3RFutSWqBgCZJ8/Ze+3nipT4qyw2jY1FVgN0J7Nsfy81
lK8Ksi+Xhuq3U1W0n/RwFcfWnRkWw5a1bTz0hMlB7FDoFNrYfEVJWWxaV9Z3us1vCIyOse4Duh+j
fNgM4ZLBW3DeaoU44tOPVsQ0wB8JVIT0I7oBDPMpplO5j/te3IdyJjq7dT/oPns2i7LcADBJ10bq
Bo+9E/pXVtvKa08N0xEVeLCClaHWhUB+NqSNscKVEuJmMWKWqGFay4V+QNiLOhl+RK4rrm9ccX74
EdaF5s2oECdfZq/jzMJr3oqGWSibkYdqrM+uksh3QdBOSbIh8NzctSQCn5wZUEpvIKNtlaOf06kT
HDc6j7O/RkW/EmZKZx/fIMtUJ5uT1tI+xBgg99JKxN6jXb1zDVSz2Yp56ZwNW5PW8QoPCRKWPgZU
JtLyhVFm9JSGcnglm1g/WWM7HQvfHw/ZCHNwjGr7ugXYsYPFFa6dUIyHQfJ8GTrD5J9rTWSBQBMk
D2XCRLTZyMaFrSSiYqWMWf1uj6K8wqUVHwTMla2dV/Y61TSNAmYnO0mkyXWiSPMsBY5Ap+L/pkCr
6ovw7Ui/LNu4FaNcw8Xa0XQiuwrTUX8e+3aqzkQd5Jtw6anNpCvT8DGRFZiFv0kidg450yUxxVBv
xTiZWz5xe/Tc3txOrc5Ahwh9mnvRfZiDyX5n8qCiQxPNsMnCnswKQbLpn3TIgAbmDG00vZCX2FMR
wbaJ93g5W6M9kA+GoL7Iqzp+hxaM6mSk5KsqekZuFHDOxzlJfMYg6TYq4Wb3eWQ3T2TQZ5tMzBPZ
otSFhgPeMM+kdZjsJruqo2B4rPouPzQJIE+y28Q+T23WnpYP2aBku4FlT8MhYDahtVWfyUqH69gx
Z9CT5cm1S77DJiVpF4/HyCcnhe5dIIoJtZ5lbtFimVsbLf27GckHE3l75mfMIKcRwLwO2IfFOyGS
QezGsecjYbvB4GB5HL76LHW2FuHZ79DkQGxb4ktrBtx70Cv5OvAgOVGrOGsy1xEq+Xl7HF3uV8m4
/zM18PiYjC3remU2xxQRZ05PzTZ3UhTNLiwN5wT52LjXvEBMgg477xx6DW9bx86nKVxomDTu+nvh
IbHhBDjct8JsNq0XyyfhO6cuk+nOG5tq18FdnFbUi9bJUcTQNiwKsh2s82g1kF6QMx0ITXDXY55y
lLVCkqhhvsjQIDuv75OVk00OAFFx24ZlMNJNi8ZdW4863vH1e9kL3Jomvm67AgFDqhGC9aqku9gX
rQCQZy72YwaANSur7iI8OKYdn9VkKrQxl+3935H2L0baWB6pG//5vPq/tPir8vnbWceXH/nruEpO
CyNt4Vhovy1pw6/9z6hDymXWYWNS9uRf+u2vx1XL+00sP8VwnPSpL9PuryNt+RuQEw5feEEXJfl/
NekwTQbq35b2HAwd3tdChaB2s/HzfH+YK9hJOwVZ5RqPH0sIeUUTobjkYDuAg09VjdOjIEjD6+dh
l5lFXogPPZMbSbxOXXQPJkgXakzps/Ju8zZta1gMyGOb2n+fENDduVC0UigntN0mZQOKsSCLrktq
rT0MzQn1NAE2ZjEeGHUXHXsV3fOyr2/KXAP/GceE5Tjw6/LaCVN1hNM+ikOauBoHehgioWxq3Obu
k9FV426qRi9aC4V+1Unr63QJBC6Id1mIuJn5EOOoK9dJPGDiCoqJxg7cfNrlqEAmjqVzRMR37qr7
ORspiWoTFDrzmfEmETGRpma8xDW045BAeuUYlO9KbGI7Tlw5x8KgSg5uETXeOaBhDRBGC7wshsEW
7Na634GDGYEuLIGwMdy7fU1MzlU6t5jEPfLNsc/ZKV7IYgyxCTph+bGftLyf3Lgcd8SJ9Ju46+DD
R7U21bqL9AzeomhhyTfjU9/a+hFSAJmzuE9qRSeQLDYScSD5rexQDOYT6bfN9eTIfEf5v3jcgYC5
Ud1Ieost0tRK1hviESaKLwvHe8KqdHDDzntERa+uTSJwOkCjdtMjIG5FvnTm7I1hDVrcNW62NXEu
gUToc4TflaPIjEsXdViXpsYac9IIKAy0TLURA6YjcjgKOrhhvFHROAD6AfcD2DgFdBaZI7hLkxIP
akxdO6ib8umzFybieXYkdGNnGbhlYYI0GynUc0ErxrwKWjyp+Err95LZ9AkpU/5UsU+sqCHktMYS
2O9hGERiY7bwdArdbqBbhNs2rjxImUTscdNIJcctoRvNFV5EtY29NninnIZyJGzJGm/sCHRgqLxV
ZRUZEe4Wi64TD/mrSI3q0IepeegLr9jg8A4/8TS0WP9SGfwRFiNCT90hCNhFfWM+hHkyHCYw2xCO
IIKuAqTK7317fBH42zajJjsvJFYeT0+uk0Pl0aZY60iNKKXwgl/TC7GPWez4H33XMndjF7shnc5Z
AkwZTXqVZmHQdAmbB8fO23NDxNUfeV8AGmki/YiKpNiHM+39tWEIdFg1E6vtWBsIGitVnhsnTTFs
VGmarEzwqQswZMlEDqvf3ajpV5MRlIcySKIPfZMXauX3IRxiuzbXHWeV3QgYo6eDvMa/bKP9tTPB
yQW+uobxHQBgZojFyoJB4FTXfsogqK/ftUWIjsAV+Z+lzPShCTqENHFD+1fpYJk+vaQisTeWxt7m
oKHcpzmRDZVtPqtJf3Dy1sEDEJE9g7TPa7NNQ2BIlE+ruonrwb2FiBJGy6DKgcfRfunD/bsr/mJX
xJYoOd7/87Z4/nP6n+Ofbfen/nZn/OvHvnZyrd8CAUQoYNuBLvQt8wCxFwJTC0A/aZ8IutiCvzZy
2f6Y8IP5dQj49eimfCsCwNHnCcHvXHAI7n/TyIU/9P3WiD4B9x0t4WVz9Gx56Xd80x/CPVzC0nfa
fYBR11qXrdVvdVS12SlGUn1Som3G9xFThmMl2FUOyLv6u7gmvxuMi9TZuuVkWqxwbSZrLxxIFlw8
LGaN+D2Cs53cgaEVwN5KaxUFTbqelTGdI4TR1ga+bfigzNJ5csvxOUfnGfFXPYwN47E+q+a7rg0e
EITCwStrhvyVm1NgEzzerVqmWTfDZDOo81NfQpKumJfWvXgKqFpd5i2JeV+WU3bscBVuq8JPwPvx
g5PrMd91PHUuOCdtJECi+3A2DUjyRvC5M1tAKeRwq2k1FnN7iEaEZdSdWf1sjSB656kL1rPdpYC/
+KJIhIYw6MV/cP2ZXrM/C+ZRY3twsnb2d8gugopT/nCYIe+tPSL7OJo7U2eC+V04dm4RFMGHMWXC
uC5zXzwR6sR5pGYddMyAZATBCLCfOjxQxsCrS3+aWHHBknVJH6ynpLIG0DhBC7w0wbS5mtDCAyf0
McmbdWR8HAbLec8wuID8OVjyuvU7DiLLHvmosxw84hgN8qktLrNAJfjb8iJW7/w6Nz7P8RSsUW+H
rMQqfjXyTp1rirnd5f11y7vizm6ZrPHPgwm4r6TfM49rGoTldCVaMvjo3Y4wbrGxJ4RsbhGm94S+
j0O88vrEvI58OXA6HHpOe9f4nuJ4H+Yym3HY9gsNwPGAHVrzcsZPQyisJaCC42xXh7G1aarAux+u
ekaGTzVhAu6VrLUPnpYj2H6A1vFESZUd06HrNrw6dOAOI9cWW6DzvsJT+9gaVv4+rlv91NRxdw29
AHH2PPpXMWcOl1idxqJXMUQnJP7xh1TX2K4ZC5+MmovNmBDmYdY7BChCgV6nRM5undnsyh3RHDYr
cYNEkaABfGppPX+cmUHu8EsEO7L/rM+TC3ideN2iYFhnzWphbKQJ0sFU9PE5yyv+rmDIaw7ILn2G
tY1BKsHb0lZeuu2jrLsPi0DfJPOUra2FCsXhO7wpXKbx6zGa/GVGKa/aPLYeyXfPdoWvjGqFERjU
lOqTwt9lUhC4U9lPJHiBT3XEh9JXGpvi2ICsSmELz9sxy2+KKJwJtZWue5UsnCt7IV4x2SyP0QWD
hZ6ihcsJG6tbKFndwsuatC5unYWhNUQ04mBMRtuCGctCbu63ZHbOx5jDObN2c7JwckPlUgy7Vk6h
0QyScsiDuvC77IXkhWwj4aZa+F7L4GdrVj3QL7Hwvwb2vV1TW93NsNDBFHKSU7kQw/qFHQaVFJuw
uCDFogtezF9IY3nQJMOGkFTvaVxIZOHCJNOYVv4EqYj3iUs/L+Sy8gIxSy9AM32Bmwl+5pkuIw+9
kS74M4LocBUFCxRtGmW8HeIRVJqRlfPv9JjEdl5IaqNVt8eZDsij4Tp6ZzYepwhLGxUZFFEtjG0J
EQljaN4D50SsA0S6dCSPsjNJekKT2IwuXLcprKu7WM2osvj81sEOZ5Ue6qLCQebOUXscQlIbDO0O
M04gP2MuVzqLvboZBqznXiWxSNXtus3N+MH1IoE7Am/h2myL9DSCJdDrscUpL0gNTVaWW3dr1O5q
h0e8XE8aT8Msmm2baPOA7N07I/lk8JyBKF0wamgLJpVC6i3RiK1nf25vWz+DZF+OJFxOLOZEILEq
de4QgrFgZSEdNfwcqCI75hVPqClnCU98eYpqOi7vFUOER0Kv/I1rCJbVcYHdrjzNDoMEq9wBtWkP
dZmbNo/DZN5LZ3khulIKnQ9BnWv8gfPNJKaRHL+lojuz2+szgGFyVSsmhtuOmcNNy/HzS1Tlv+XS
r8olz12mpP9cLt3H1euf/3Po8ufy9buC6csPfi2Y5G/SFKbk6frL8f2fXoInfyMtzl6SjXCWL/So
r/WS+Rs/gROdw8ESxbSUUl8H3/x1tiMu+kv+9RuB5M8Ek5b4cfZDq0LYhILa9CtwCX/fRmiAfGLm
CKo9OZFwZ3VcvcfB3AOMgasCNMF5mopxvCF6NWEBrZ/yyDEOYkICVA3kOBaQJzZ1ZxfUREV5mw/i
kQ4wuQMQlVI4d5O/mQcDdqz0UOFpw7viXMpRovPO9eJ2xW94m6qpfQ6s4sad8ht4f7uwR7vZt07A
YojsLuewyS6RfB7EkJwLvkfGCHUJnK5qVsKAyYoxmPBzMZ+qQNySdUdGbjs9V2pS9OnarbZ1tmr7
5HOXp9AbLaLZvMo/e5baTYlXr+uo/IyD7YYy5z5UTkzhQYiMmUEumm/tlPgmGOjrNjVWKk6eYUxW
m6qZX5ye53yUL5zfnxrdXVU5Dc8W5P0HNtc9KUDuCj9SsCV2cmab98+yt54gczx7YkY7F033os1u
lm+gh5G4wTT8Oa2ZpHdRn15ZObBoi2bHaog4bI7T+BBZ071fKnftm5BL2jx4Yf8IduAqiKLWJxhO
1WGGdsDAo+OLEQLJTnI048EkcEQ9uBiqptp+iq3siLbpuW1S1j8HKIvVuisCXbc2H2giFJMIgls7
51ppqydtoEbrYy81Cj15hUhp8fdQDld8UWbcAr5yCHelso+3Sbaw142RFKcaWh/J2nyXcfE8QLda
CZy62OUrzXyt29YE6m6NZuaYJ257E5P0wvPwmUgbozjVHs4yNHWfrZw/5sjkJsvUCQQP8owqgMuc
8AkJKnmcQzLUc2LzNklAQhQpWVS5CfLCmA35unXSY6Xnx9aGzxU76qEQzkbpclqXcdtvwip5Lscp
2BIs8+JX84lzeALeryWqpSFRUIk//MZ6F0wJHfNJLg2O/Yyffd+o8WFuiAtNIN1T1e2jgmtEvUYu
Uz/CLRzmk1vpGOsy1xNZtHUMPO4EQCaMIs0Cz0UnHstIvgQWc7glaocEqfwovfGhaYcHW+WfC5EC
/XOx8A2FerBCGa+yBG9FznCNqCX6b1ImFIDL9y5Ll/aV/cRwJL1yyQCtEctc9cvP8TmxWeAdnCz3
KfFavYfSPZO/QOFrGvWnNIS+6qVkK7ZGON5ZLrddrqJwrRtiXzQ9sX1DhMsR8/N46ArXX6aIxrss
1jmA8rp4Vxq1vhLYAo9FDKbJNHLrpZfdJz227rX0sxq3paqSxt60WQxkmQGwtfGyeXoOvYr5Y1SD
iwFY1JSPBH8/FsqAHclxBNdzQYGr4vBsl9kncGrjOlP5ViFpW89WsqkRm2wbJpOSeZ+L6ixRLWa0
S4av15xzI74tK7vaTob9WBm0isAuO9txcJ5VqcnHKU2ad8S2bXPc077H0aWeAxcLWkEskK7CW9nT
to9Kbv85NV8qSVxU1xRsvdDmXGXKK0IOuW6aR2CYuQ0bTMcbhSr9nS28YYflN1zpzHvyDPc8mM10
CMf2szG1J9vNfhFn/IPOA2A6vECXFFjXoyv9phmM3Ra+x0QmhT2Sn2ANTb8OfXVOnOZmDqX7CxET
O8+3rWfb59UCNjRGLxzXSQT8fs8AETqUrvaoFXnUGbCT9ZIv4bgWC/o3m+ntF6XFzxTzvNKiWqfN
juUAn8CbV5o8T1kpReLeZAKLCDRbLcsxwCSUEsgrqwO/Elc/f803jfXl05Hgip2WNj1xxW+TiiOr
DGK/A+OnwbZvnW58qBQPNly4/WQ48BL4vHk+n9qO1e3nL239oNFfXjtwaV94QNrBxnz/zdZZNM0I
r8t9V7TA9jnjAyHgNMlycQIynu1FoF6mjkANRonjMR1JBSRYmvox1i9LQzFCczJElI1oRfdBUKDL
GmiB+xPZHizfvstBB3kn1In0BgTbVeGM96qIHoUT0wJV9pnsA2OtqirYOU5Vf4wcNBO2z/Lw80/6
N7cQOjgYB8S+CuYEby6smSdBUZl2uY9NAmUqcSuC+ZbuRPOLb3SZ0ry9V3khaymt8JhwlP/+Gw0m
HFv8JvdqkNuHTqlbLRPwcaCrVyVwrk3nZzd9JIu7fNS3Xi+Ku5jUABwD0edmZF1eShUOEhDOTHWK
DCT2AWBFI3DPVjvuYp/lHuNbQWeIfLRGmeopcky9oyVeb9USGj+ItrsvM/WoWrb9wUzsY5/4YC3Q
dp/sMvkMHspdQUPhKiq/2hHn8Dms5kc/Gq7mHg6tqq19rMm9jUsCsQgLWyGSIJWekYQ5zLcg6awV
ull5hW7jU+tw6PEkNdbPL9jfrDAoNP3Ak4LmnvO2pzZ7RtVARyn38yQv5YRiZSODib7UZP1CkUSF
/cM1w/lpc7U8kp3N5fe/6d+1pk7IVNTl3snGe7tLjgUtkp9/nMuT9J2yi4+CA8dGf0fHynzrFEpi
zmq5EOW+Csaa1hNhFZw+X5aVPpkJEu8RtWemvQ8M8zyFAWGRZX40VPiB2cgfhOqUyLNH8njy1NqT
Kc0mG7A61bq44ej9eXYnC8pZku1zy52BPVjTCmdnd50n7nb069998Ntgdny0SDrR69yhbkGiBUgs
IITYbFFhWEgydoMCSSnM5LNTcgsSwXwzquyYOZFeujUUqBLAsSNrBnMxXRvR31elGW9ta/5yAvxH
a9UyPH17Uf5K2WYdZhxqfn9RSrPuIWwW5V4CHl2NcZGsk36ggjcyPjPqfZzlcOty7Z8LLCfrkHnT
CqT1uz7lXg6zcgvEG8tgyNi9d2W1GWLxNKW1tfEFw7RsdM9EorrEWDjkB5rpBoSAsa45Z2/wojwK
c3qZifQgnfS9sqgOMZon69ZQuywWj5pCjPiHuN5Z+YSJarqPmBqgh+D+RMwVrjp3hBFp2ClkmjzY
mc78GNTtePPzu+pvHhL2jOU/Enmv+dbgBZ/Py/tphADrlxtKHLXyJt6OzVgsrKNfXBHy3n68JEx/
LZY1yRz6h2eysYEqmPZAdAstuq10O+JlwvQYslMFMETXMxL81cxgik4Dy1SaUgFG+Y2bUQDiKXaR
nQUERhVjsw3oc62SHOVzqf0/kElcG6P/Lg+Ie4wDqn1VVhbarO6lSOd7lYPkJ9YZW+p8iqzsOZyW
KpWWHszcm2ZAp6Qqc025uqUJ45ME6pwvx8vZVtYmcfiDQZsdXQP7bQpf6KoOh550jT4+KF/dXg5B
YUk+20TL/FgO00PSc5D00XOs54ajnjNPD20fiZWGdhNYIw4EedsYydGyqNYkoaDJEkew/MKAJrAK
x+WGrIfxStptt10eo04558qbHtxoOUA4mcHzRM5H3lAt0Ye7UcStbbyaP43H9alJSZUrSTS9Dhz1
0vb9Zhr4gtM8uYEnU6wDRSlu5/ZTGo/3E4xKGpiIFcviaIz4nQoUPm3EA9z3+ZFD8Q48UgmEY+TG
5Olwp/4Gj8SnuJtKACjOeezGDf1avV4ORhjYkt2EQO6EEP5MR+3JpGP1i/3Y/ZvHm1qH2Q1Gee6o
t8L0XFtpY9qQ7jtPv5TdeI/F6Ex9wZeHVXez1F+Xo3a19GB7hNIIX3nmyxid9NShpEn5MXDnm6wv
IcdmwcZfoGRk3xAQiV633AZq0HswdQYHtAxGUoSxCT1l9NIgGL6pW5jMc8S+2M9xcF2ylq9nzzqb
BmsMVuHH0aLcEq1Vr12RDGsVkfyY+1TW4KsYzZxiq+KCRJTZXjo89CMraGv2963PkZSu8w30pHvb
QVEG5U5tMc6gVJ0Q6MbTA7YvvO/SmJGX6RcXWzfBqv29x+lgnyXueWQT4ZA5PFiuul2q+d77ur/+
22H7VYeNwy9byT932JaB5M2fKnn53pb85cf+o9WxFtmN61iBBTHi4j3+iz5xkfE4lstBhcEjGArW
7K/4iUWrw/SQIp+5pPfdRHLR6gQEmqCwoXVNF+6/6bI5bwoasOu8PAJ8jCoS/6/9ptptUjufpwhS
amtCjH62KxspeGl7PYVoTEQyut6JLBSNIaDqCuOwpBc47RqlNvXJlAhEmp1+ba1ooD0ikFeoFB/j
SYEN/LNpcw8tpOe2c7Mv+4jgZmY4+aTt90YXz/4Ad2kwzbp7zb2Fc4YkklqZMd+cxsE7kRi9B5Rv
QJJOk7pva/3eKonbpuEx9lhUrYkODOZTWKhrdBeCJS3xF8ob4D2UBoWzdHWi2clUfE1VtMiHYtNj
50nX4qItkl+ERulFddRdFEg+eOJcfEi+iJOwTC5SpU5ACjslMkGFSlf+JYYtd+U1tb6FJ1sCW9VT
Kre+q435U13CGP6yd//7AP7iAeRMZFNY/PMD+OG5i2Hx91X5bYP7rx/7+gBKkKaLuQjMS2A5ixXr
K/6FGvs3z0LSwmSYTedrdxtxnaD6puXsuIu4jrfwtbuNhMB2KKCQD3iYMXl3/0WH+/t9DSkpXXVy
klgSJD305UH+7iwxV3NDUMvg3hXM4ed1magBzGS3jDCnpvv0zRfzy3bF5cUo/ZY+RWBzrHhbI0eO
WiKFevsuNnT9sbQr80H3Y/BIJbS0WE3BgVp49nMwpu0vzkzL5/j/88xfL017X0CVpXWxLHPfnpkS
I5MkvEn7juAEXjpojWA76glqsTe48sHyFXyYTrRASWhHY0f5+Sf/vvJdXt4zbZwyPrZzLtzblzet
hKEoYS13QGYyJsnG2JO2CIC0PibV8nIKxfgvbEDm9/XvXy/KrWIDjkBasuwj337mssYpHdWBeeeY
pflQwhA/mIU7N1fYBoPHuseOYydYgFFXD223i/uhf2UGmOxyw+V7aBBq72rildS+M9oo3M7zbD+7
vgkNLHRGIU9jHWq5QUdq5KuO7ASUbzkxur8wTX0vV/nyMVxENNgeHeIJ3u4O/uRbA3RX8w4vBfcK
nLiDyodMXfmdkg8sv9VJZei8f37Fvm9z/fWqAY+H5y/DpeDNDcME0kuV08q7FBTDQ4mTfIfjPf4s
UtXcaTmre8eu5RlyDp5/HVM4/fz1f3wwka/i3/Jg9nPfvH1WcB2XWZMpeecaSDeT5YHRmOBvo7GR
55+/1JuD0uWzspHzZPmCF/yhCRRqry8hjck7G//fPX6LMrsaE4ktIrSs7lVltv08Cnd5OkVRrGtv
4mExIJHfpiRt/OJy/90HZ+LGaol13vrhrjVtowoaEeLUQHTeoD0I8wqlZiFGwAXZr7xyf/eQeCx7
PJf81/uhmSJrRHiGBYup7YCZl2BG5zXM+uo0eKI6FW1qHyzSR09Nk3CXB/kszwV82WitU2nQlCA8
92S4o7qPGgdyRiZM/7rH+bGVYDpu4xhpBX9rylPmMJyajgGhRfnVLy7g3ywvi6Jscf1R43HHfv+k
p3kUDr4O5F1IykpzNXttu7/cN6ov6o9tS58z9yfWPc0XWPiMdKJkpovXaZBfNGWQDCeZjclrnua8
hXQsule/Fer+5+/z794mZSSYMTr8TGjfvE1DmcPohra8c+iXgbFdvmZZt/VHKUL50OCg/cWdveyg
3y37iwb90rHGJC0wQb95xaJHYiMy3d1NtVWdnL5wnsNALf+wMDcNwlK3reVSEYZJiBaapCtIwBNx
Ku8TmBf1ygJp+GpVeExIyUp2wuAhSCybhXO5Jy5fUceu4ZJtxamsG73qpGHvXCNGsw+oNuV51kP1
i87Glz73t7sZm7XgOmNFsUHT/pArOPtZ4DWJju6q5RyI125GMu0Z6TuST3S/L5HBTOvUQ628MR18
IKRBkPt5FcQEa6xo61lirVUdrM3UJLG96L2rcYZYtY/dbpB08CNtrQgPCeeNsOYAF1g8Gb/XRhH1
GwFMDARKhKNkjTUg7jbAkHgy0m4atmwB8M6zFBwBbLLyDsV7fPK7Ir3GVFSdCecmntOvWho+jLWM
J6m9DCiJzl9E1slNTh3A0FQTf8r7G+NXzYHTPfY6LjdJz/59FIFDY7qx0voWNBC4bRWDPIMh2QlY
KiAZVqPnGfXjUObptLFCz3sf0AnD9QO60uXEO5L1XThRi9bdDcgaxc7k/8EJu/XXZdH12X5mCGmu
ENAQGWo2OjFIlpb2tRkN6MfrMTxCMArea7Q/w9oD7tre0eCVeOScvnQIZDABdheQRepbDwESAd6B
HYcbP52Cxyge2HYz7hE0LTxyjEADItBicksoDYKtJ3uSckircZ67wKZMKH1WG0pAFuKxZhfoEs2P
aa8D0k3AMT2ZLsxJ1iAGzruG5pMN7Mwylj5ynHIQXn1Ez5/qG+ypzTU+SF9eRRoGMo3YRPkHbJBI
lZhJv/gA+yoCM2IB0BJOBGqD6NyaNvQa5oyQnXGJCzE/yc5nYj76aoMsw/xD90CYnaQh2TcwwysT
1d4n0iecJ2JOnFXj1vErN4r6M0Kn1K9m3Kso5bk82DF7Euei2qGt4I1rbqyLLZCmFlw2DTkDnGz/
ajfCXSsnieoHA4F0dhpLv8vsY1nSeHvwYDQL1IrAlCtvg0TdZ7TXa5r0Lp03JwhN/lcipKM1ldnE
T5NxpNFKgfvIZFA/GfHoWrzdLCVdVje68K8M4EO7fCbDr8oyvulyGdUDv6cYYgW3nxt/wjmPdL8m
EjYK89+V0XHFdNizKWAkG9ajF7CuBBVrRaK5KyFgSzZTuwRrsEbjAkuLPCSEqXjr8lWS0qgVAgzi
FEzcXmXUcemzkSU7saO7wfOR4c3atZ9DBxVolAjq1T5feoDFxJw2nIPHyTS7126O7YM7uCw8NuuQ
ZxfBtmiZN0PpiTufhNHF/QBdbnF0Wk6FgAAq8eAyCMt0UZ2yEhtJw5CLP1TlwXXfowwmysMLaf7Z
EIM3Uvb8m2henIYk3UgC3AX/AisXpATf4ctpTXZq4us5ojNuk+mZTCaWmIB4iOuoKYLrwKvUvem4
bOpfXHvLGkkN51+HGDVPXtq0+7Dyu9cmWL7KgMSih64bFrDN8m6LYaDRajHRviUynAJkcBJ9C8mF
X2Y5Nox3ZZG1SD1GeWbeLGlLURlqE1zBCNpyCxFF3w8Jxw0rT02aWlAO4l4tRvWletQm373Euwxp
jOeXNOx47F4TXB/3NC27VwAEdYfznOpTLD4aHPbkty7lUZ2z2zZB1HxMs4LqV5EifX8pFOasKfVR
pbn7fMk3SbucS9vwZkivSV855ePTSLDWH4jSEmd4SwY+k5DAlzbPqmtuI66dubxbpDxsPES27wED
qXuRCorwCsgQ4o+s/gh1md1cZ6bRbkO0ls806UAPjRVyhUPTtbzzkZ8ZF2MlvpfGQAG+vhQ4w1Kq
ZHPav345/FjLnqzTAJcwQxcbUZKRYVnwQKORB+Von9RWxwZMhbd/x7bDG8SaS2qLj9sn3ZLOHP6B
tIAXLy+PkMRorq5G1S5lEDtPv2mnO9+eaLcEHdeoDv3FhtO9BpFkAy5th7WtWo4qEKOwoGpJYYB5
B6qlN53LzvIOfJzqZI2Ge59o0Nsr0Ly8W/xL7X6a2HH75fZ0ylyeRZSyM2UIc9ptOlKu2j7O2Zt6
igwM8jHSDqYCJXct4hrf2oKj4M0AXoK+Y2d8Z730g0c1Jt5DmmGB3/YN5icaY9wjeYy9HLwv36mC
v8gRYFkEGFKS/5mUfCtktgfXrnYsjB88YbW7vHwx9f46XZ76vJf1R4Sm1SlAeb+n3G/2MOe4qokJ
aTRnI+d7mChBgzIJH8kiVbdKR+5z6zMWzZjPEjmYzIa7iRye+LbteCeXO9FWqexOxGQu9wY1+lYi
/7SoaZuouw2gPE0HH2wz0LkG4ciVibJzX7REDyX9rAI8MrPRIaDpKYpMH1/NyiQG7L0WqfNspal8
MA2fM0CQcgyxlS8fJqvlS7ZMLUciGdIAt3sS1B9xYfGgN3JSt5dPyE5Ejdy5rEBtRcf+cuCdJ6P+
OEuLRxSywUPC0o2aniPtA7Z3+VDRm7S2/VKlzdDk8i8V42Xb1PTApk2do52z/JjPPjs1bXETaz6o
Kyzuw8BJZvnW2nrEOJdOErgVjAUeepdPkSWh/VwPPc9rGUPgAK7KYzVrK9x4qM+vhi6XMMe7iOUo
yXi40K2wOuIScyzSVkyFOCYL1T0cU9dCCeyBzk2cvNg6NNOde9VOoMTKyc7mtdEK5xkfK3cNfzp4
LJXg2JoP9iFrKqPaEko55cdidPlpQBNm8x5hwMQtEgIUWKPgkuckvax9ykyNXRVJFnlKEbwW29nu
Oa9g2a9Oly/gy1q0HNzH1GRdWBbWNkJSv77cu2Gk2NZUD9ZdeYn+A2RNeHe5PwlyD3cpjYAdTUo7
u/EGn1vEF6i5bMbMxzjSxEN9uSEKJLqfaw/a/rpox3ZvpCUasSUmLoLqiDqLu8JVGQ9FZoby7DLE
38mmlGfmvHwJWbdQx1z4PqiDHIAocOWZL3mNSROCGSk+xGT5QMZUcPcxNUU1aE/8nqYQasmoMOVZ
2nwEbjn5AH+hmjZgUHmyiM/4P/bOYztuJFvXr3LWnUcteCAGZ5JIxySZtKJITbBISYT3Hk9/v0iq
uiSqS1rVZ9qDNtVNEi5ixza/4YRxDdPclhWLpsdL58E0Y/0KbY/lhkqdRa3het373UjQPkVAK+2Q
1C8Dl5fdBVgyryTIaFwx3ZFtow4g5NlDWFp+NXQEhTJshmBbC08SrpD7YXzdM/DYmPXMdUOkuG/z
2WqcVUWp9iDhej2Edshzw4vwWN2G1Yl1YjWYdTfkQsvdgIjYtO/6oYiu9BabyjN6wfqx0QbuwvY6
rhDGJatd04Olue/sniQkFKl8QIQ+3hVYE/K8rhxxezbcu96b8ivDtOkQB8LHkqjdo6iGb2hDZIcc
mryGJjaaroJfmQ4lNWQGZJJNeua3OJpxIs3xuPgdLU9JhjI7D2ky857jig9a2uMy7USfmFutQJ0N
yzcw7Si65WeYoSWXptXqOu40dn5GZT/tCx0XTB9j5eIyKBFJkVNGvuAY4Ewskkyljmd03maa2k47
gKjLogNmMDQiIbCTU/UW+D7a29mZKA26MHTZer/O0DG9CxODz9PkFf9eS52XZNrLdE0HEPgs44I9
ShfEpXogx8lVSldH3nSbhh0Z3lQLmI8je0YVymlGlB1NyVaVUY3kiNZwe8Hi0mwySvIDC8lOQHqn
wySIiNuLHZfp15Ick9NFVnKTqDNcxyvvIWDCHMK/VcEOFH0FFCqBa990xLTSmdzgnH4apgpRKS9i
9KfPxkrqx3Cy5YMuuvaLsczA380UKTqWE+bOjsH52aBkt+/zkGi1OLFxP3BlRJ8JkTJJCY4wzszN
XBfsiUzlm1UgvQtMWeIcdQfaVzCUK8SfmcqVuC4AbWULdRmLJw5EehClvXVCFZmXpeQEoraL9oYd
xV+twdHac7vq2XGd8gq101peoGuoMoyaHongZM7TwrPOXHfR3DMKtqlTM1JsBpAQhOLb9tvMMgyP
WqWDfZwu+r3n6bTsbElUos/DK3ETwbERBAaVRO5wsDjD7NxHdKzXS43kV2VP7IclVOHglDLbqEs7
aPWt6JLl2hblFdfbOHNnbLlydB81/fQBIORyEQEf+VD1Ybpu2SFEZ6qdBY6M0bvIneYaLtZWJa4b
4ZSTTzpdeBuzMac9rgzic1+Z9pdE9stXbAiG1zKbWtLtMQuhpc0GnYtWg13eltB7vPEROJcDARcX
S9x6AJrWG9Qc64NtTvERFLW3DhMn/phXXXjnkONPfp/jFpq2trbDt2s+SrMKPkR41H8u65m/ZBda
3JIpo1J+vRSCijUDEw2jo9Ng28HTcJ5O3Zn/Tnh+M+ExkMYDFvf3E57L57Z9/hz17deua78f8nz7
zW9DHkf+AVAKGX1a1XRmmHH8a8iDgB+ALQY/wFD+HOf8Oekx/gDGRcuIX9NoVSmNrT8nPfofuOox
HP1LMvo/nvSgcMYVlLiCrfPfubt30wCJbLFIK1FhQpG9RiUSO8IrEcT1CJjfvZ1/M+b5sen2diXK
P1ASTFqM0/z6+7lDVliFtUw6V1IaIrlWMZBE1WkMMDr651fiGky1oaDRWFR38h0SLuwEJ2KVVhAm
MUULeu2qHXI4lvXy8I8vRC/eQLmCy2lc68cLDW6mS6RNq/3cpq9plr4GIn5N+M//5DJq4shIUP70
jZDNWVpw+BU21qq6RP95BQ8e1DwSxv/81bFWJd60jMk9/T0kGhZabpURTzQEeXMxacBIgpLedVP8
Y5E9Dww0Ah2GGlkCwX737tyBzgzqqdU+GsFEQVa/hfbPaTc/VOpw/vUb/HHOd1p76AOAZ4dIrbTa
VAv6uxUhMOhlb5YIC9eUUS444X3ikemUIn7WFH0ithpzBQ25+0/eJ1Az2rKu5Tjvt5fTlL2BmUC1
r+q4vOsbQKe2FOmDSH4rkqle2F/d32/PSMYKGIBRKrv6x2dc+qSf4zKv9qKnZZL3FSpchhbc/fpN
/ptd7CHq8K+rqOnid28SGDhgeeioe0HD/NxopochB391Aj/83670LjKNaR6VGA+yQLJ+XjtT8qwm
iqDHfru9tJ8fCjlUZSwqYecbP4HXSzSFvLxEKwIhu3JdaYoOMIPcvF6sfN7IQMPmUTY6rB7b3pMH
lutTZ5auU3EYaub7PlbfE4q8QO2ashg/uxHYZjcJ8NhzNeDLbvo6A7Q+w3N5uKxc4NBNpaoOWOH1
qqz4EaSg842WAvLrOTH27lTnN3MjjY+pC0EJNZjgE8oi83rMYfMELvCRci7kbkxYz6k7ORA1oGHm
KwpWuNw1KSTGisWmx9tj0xlucdeJxKJRvoyf64AozxyKe3dAcM+JRaLrtci4RK4XlRC/Mu3lNMKL
W+7nlNflAQ+dUulsSxlWV6GxlOsOQAJSTybTpZXeZ7gr1mYnd07Q4GWiBdMmqSFoIfEskHfj6U6A
vjxxO5KVwvADl+DC6AGhVIcjoHCRRu8i7Mv8AdDEwcJfeofSOrMgDeqYl6PCCbmOijDTjI9hpCQJ
Qj35FGLAChYQenjdmtUTKmnGx4Bnr0CRkpRXudUv3NNAUh65mIz4pom14WpyLIovYTXZQzuiceWJ
Nr9hPtN9Cng151FSV1dOn7xqOt+0R1b/I8oBr1M7BneAkMuzUYVGVGpoi8EtSkke0WFjb8ssukaw
h/bgRB+TiA6nZKBlhZKeqVSG4NWSZhaHOCQ5X1l9GB9Ds5JXiQOdzhFk/XqZ8BJpFxRrQ4zorZ6W
fdbiSrNo9MXQ9Sk2acxLCHqE+1G4x5YS+bJ7D/UCmrFunH6SC0l9Ti2zRspPNe06PBL9cmmcbBcX
ICou9X6o5NpB2uExCipaXoY+0J8qYJADsdaK5kKU8fKR/p19PxVp/mpQnBx4xnlTdEROIBX1HsVO
+VAaCimB6nvi2/Q0gBdbWJisKNWGcttjYXDRgMUnJ0cwExddhvKrCUmCciVC6nuEa+RDC05zXVna
An3N4ohbZuntOrNCQ8imrR49dAUWFbveK5JnlEXFVhbsIyxyEVCLJbJELVqHtyPZ7+PSLOmO0qTL
tqNojHgLVtpe4F97KWjSNhz7FU0I/WWRYLuMhb2F7zlwBaxm2g8DwvpPGH3ZjGIyYuhUcrMNTMwD
SDnQo3i2CLz8+BJ2FKaf6tAoDlMQFptmgnGASdyr4dF2gztkHrgRfauH+bwWc0uZHuVOhNyFnDZ9
CJYaP13A7SZHX4+Gtx95tPtp2QV3yYA9xDqqpuhrUUl7zwyGWYKjyhZL7x+rdh52Zl4iRiF7FsIC
aPpEP2wDjCdr0Wkw9LOdbMKv6N+7CCnhdFkb+64cXpA5hxVA7bjpg8o55yh0b6KebEIvuC1Nz4ZL
BACZAqfscwuxm5VRuelHT6+Wcyg023yBjkqzv+p8KJZtCrUO4Rx0kBRZXFXHmIbMa7of8sokqaQb
wq4HmTEjbIV8ptkm82ZpiG40PHEMVuduZfHcRp48x63wrryRdiL1lHdjDvS3Sgqbe8wDzcPUs6JS
AuqnXtW4mqJ5DgWPjxQQ2wglUnnVAXn+DCQFqdWwJeZEWAXd6A7kGEvLnm2bQHkaeTtUUzdLjGSU
0TTzmtkjxb1t9t5NUKbNhT5i4ro6ZVq9bOpdpsFsQ1WUIIZ+/9oZuTTOO80+br3Oh4s8fo7sQhHQ
sXfAEoUVDKu/ibMrs+rKbTSaHh8hr66ojMmrcew7z3R4nuuxBh6yynXLT9ELROVejuvc6fXNKeqO
UfzUpZ7+VRuJVoNaIzYE2CMqijEdMwQTUc2jAz+SSSBy0tnHJLS3rYUWwlA2hm+bDJvqjvp1WJzy
QzzxhhYX9yKUCxra9+3o93xhNfel2RFyGtwPkA7BcxfFIVh69Bt6Yo8IiR6jZNNj2MA7l2W/NZHh
gjI1xEczMLQXqffdOVaN5KNlf+WlbbZH3mjYJTQzdrkMxWXXxFdmbA6PIklQXpqi7hLNho+xZo4f
vZTOhjfTmrQW3d4vMl42RVTnV5VogussfXLrJl/HZvSK/nfoW138gf380AxauDfwR91EYV77NIOr
K2tuDRxp53BHcH8RNh6phsuhl6qGioij7KEuiLy43NMjy+lGxppelbROxhn7XpVbQLGttgvfYEvt
hYYSnRmfc7vA0xeD1n1u2FazKyK5MvSogpDRYpCKaXZGMEso8rBDNBKZ+3qopWfFWOOB6lVYixc4
/zFMHGqk47LKjPOViboUIhfBWOerKjc+tLmRH8bazA+4GmD0Unp9fTCzFvFVhk8Gepf1BGH6fH7T
Ohy1DBaGA5sguAXZH9METJNI7CwG+tFhTKSJmYKRB4N3sIYeumWA5otr+uTiTY8Dq2zc13bGzhSp
1DT/WtlOCFQhdCESuJWOxgPjSDqXtrap24m4PntuOtMsBsJ/DXqWxlVi9bLHIzVEg6SKGgvmXK/j
xNnCYfVSLe38csruUEaeMOHWHQZnJNcWBHfFimUKn67jSnuxvH6P0Thy4bOZryxbRFtDUWkJHMMN
AHpxqTPPTtadi/gWljDzjn1qIPybtDOCGF63N2rUcKY6eEYjLN3Qm0WdTSvRf3Br/THvMMFG9KXU
adOhIIkeVw8FJjOXI9s1/Bxmrt6vUgWuz9xJkloKcRZPQEa2TOmJb5ZD+MbLk7EjgJKRGYTMcNHg
gTHeHekMe7M9/AbhdaK7/JDHYxRF7Q8a0saOSAE5f8iw22UJrb7Vsn3NAbpG82WAacfYnvYheUJH
anmcTRGBiFjIK5QPEfYaBhqfTOfjlS5/V6j9CLSjrlD3Q4cAYqWtit33hVpohOwB7qfJ9Yceddcm
JaaOLixwPIUCJEu2v078VTH27gXQFDO4EqBQ+hyqmPuuxGitwc7Dscr2Q00SBlox4IDiOIasRfuf
8e3Zr6/3k/8VT6gjfYXwlcZo9k3p+7sL4tSD87CTZgSUGg1BokS5jttiqNZJkz+jFMwstI3IB21v
vD4dO8iY6M4uYoq8jXQIV0HK3A/Q7LCb2j9JDn9LIjN/Kk+4P1unOe+4Lojc90V5NcWl8Kw+3Ud5
bh36oc1fS7NmT42MSLUcTgjJdkZLOVnh19gdmRlRzMIbv6p0Eu2YhyCVKQ6egV7NbFB5tnHFgCWb
e/vcMphIFkhZXqQOZPtuqOmndvDJ9iFM/505UbgilZQHd2AwrWcT575hhUwAXidCd2/mALjiKpin
7EGL4+TT6VQsCoQ4/XFJoZP85lupKvb94sAUDaQTqGlpv2emhv0YJJxe6b5TnWkboS00YpPQH03r
sY5d7MlJG5ECi4yt3UjbD5vudyTIn+4ArrEH9lPjk7BM3y3PbnZG7J71eC+pt3e2CBnjWuPvwsBP
HQtpQojjSU1sG+A1v+tY9HGPsnpRxntk1XFeCglcBUwDvzYkdYaTonI2JxQPyK0Nj79+x8bP75gU
BWF7BQHHeOM9l3vWU2tosjHaW+2I6UZmMZUQQSA/MXmxz9E4t+crKZhNIEr5kGKB/Coqe9x0SPkj
ZYwqO8DlsEFCoUZxiqFUV5FOWqAwyL/lBQLKTE8RRezORNBSuJ7u/r/96t/0q+lAskb+vl3tl1nZ
PH/5gQ/09jvfGtWMj5HuVZ1liD+0Zz0Onh/oQA5UIYWJNVgZf1ESdJxmWCySrqHiCxgErz+le2E3
IHiAwMKfre9/Qkk4Abq/2/kQqDkV2RO08JBQoEX547Gg5VGlBWIR56StdSK3UEq9uX9E09YqmkOi
4SpdM3fzvAixaqgKsX1hyiwfN2Eu0flTKuhMdTADlYGXmpeFMGBFgRPpkEpNKjjJTdzu+jTppmCX
erEdxxd2OGKTtcJaOwn6fVAvXOuDZg+4ryJO2+c99B2ynhObZ1TUnkiRfMTgeBB+2NiAlDCHVlSg
OggG7ck4tcnKN8IQruHsvo1nhaN7g5NdD7Eohvw5dtKiUs49Q+S+3RcMmrO+WUC/ubMIUj9Ezd2r
3uLqf3fNb3YNCZbDOv/7baOIdE+IXP4w4Hn7pW/7RmlRcTqzPOnmcDIoNao/TZzlHwD1DcuhpYg8
u6X8nf8c8JwcmjzQzo4L9NdRElJ/Dni0PyzoIIhdQyhFFpQ/+H8Z8ChmKpB5bKXIcJz3siM4fNWD
poUoJYKEjP20CO0rsxmr45LBDv7u1fybEc9PmRvX8hQvAckDC4u1d1sUfU+BDqZeMOUfwTjjundM
euAOJ/BzrRBuv76e+nvfhQQmO7AWVcMW3LjBNPtdyxvZRoMRqsb18G4M0Y2qFIAJwbhjN9FthXoM
CsecKPVGNR//9cV/yottpTiiTKn4eoB93z0s0Dy8NdqmOMO2ufuCVDj93EwfvIsTDeSEwqQ8/t0j
/5tXDMvLMy3mW6y198pjXdslDaEmPyMbn65TbFS+QJimZyfjBhqIBnb414/50wUx81EsUa6oaGfv
RyeJJqbKaBu5BzgCHNNjZD0jNLrJPVN8MuGIv82b/zbbVcK6P35UJp4oj5BgSWWH9H4wNLe6toTB
NOzRuK5pjyHMbSArWYPm8kZL4YL6WD96zBPP3DnVb+vBLh6KqnJHP3LShS6M27q33WygVNQMdg8A
Tol66pOcHmfjd2ZHtvtv7hchAfa+xddU7Lwfz6Uil1TBuKPsbdcMrXtBlyA4b8MMxkVIpF7ndaiP
B8QjZyACoB1AmRXhfAu2AVyGFjnOgZwZvMQJKWW2QISY7bGW2oBWUb54OraMEWX9oBlAwYoGIGtu
aLyHOrUXHW3vlkpANLGxGmdj8bYnWASGiIA+T0imSoA9oqcNeCVW0JSlGUr7xRtMenXQX6cBx9fa
SM4b08bliyjhrGPaAnIPMlR8TDKakrd1YzQsuYCpVbHCzoSkl/Iz0vWvrFJcOekexMl02VlysG4Q
ihovCsStADTbCcpiqOgZwKEIBAh9s0+noZ2uxch8RaY1EPspAMbaK2Ta0mhgOocUjOBEz/DJy83h
WqOCB1pY47ehrFXA1egNSFsFpimbDJwvMvLVkwlq91bUQr+3O8YO8RLbzxQQBgLes5yekAQDJORY
OjDOE1gWJD9PikQsjXKYjbV/QlQaSYqNXO+Bo8564CXeAskjUJjjXvLRFhqND5z+9vOJRxOHVEy1
Odrmlg4WUDM5CQYPp27021qNkpAkIMLyvb+M0wl8K0gVOC42D2vMQ9Xu2nEAqyeaOY2QOwviHPyf
qDFtccis+k1nGdFHeBvywcMnQ193ac+k6Q1Khmuk9Vy2XvUEs4DNf4JTMzR6qLCZClcA7FgZKBaL
N+pSo818frMqgcD1yoprcPCbAqjbVk/TlNDOCEt0jLdD3/CRZIRxCgMGqsFRsQxi1fxYeQqWenr/
OMzaPl1TaxOlWBGjohO1fl1I7Xj6mS4ICj8HH0rcWKK94Flv8K0d1iOuodu+blnAkdoeTpcyBG7b
JAjO9Xag+TXAGVmn9eTJW4buOu1PLBjghgBx15JjVzttZa88fEamuwrXLOVeUk7BsM0SbYaaJviF
Iot17WzUO5dGWJiLIjq0bReL3ayh+LWuQzEHt8DPbIZCECvA2Ed9F1wYi5yfGOKOX4ZZYEHCdG2J
r8dZGOPH9mRTglPbsGsRZx1Xi4ZTrvAG4eMExCjJHqC+hO19pWxP0DCKVgG2D9itZn6tjFEwXsAi
xUvMo42zkT8M4z6Q83TeheV07+R96UdVgOGZIeYj4ErHb5X/SqucWLA6ciAxTPqVUD4tIxB+nGNQ
5f7UWanE/MhsUc8NZTydD64Y9pZX4hPUa0YJc71cjl7TYzHcEjadPHYPRRw5x0orpJJgs+YLvRhz
Pji0hRLRtlCBB5fui0TtZ1y3ghHVmsUtD1aAG8ua+W+LkK/rYiZctF2xBnf6gRxa0GeonwvdTY5J
BrZmX4/YCvKDJovuDbV4QtRHOv+wIi5PtxxzrGUjoGCElwbXC/+2eId5QPVko1r8kEOgpMWNvIW9
sgfIdKgjBw9TRG5RWcz2QF3QXhzS8RkLiPAhwcPjHH2s9D4RWvKR2SEbC5lm8wziGqA2hcbzKqlh
QiBphHOMlveOzVwyxnqj5TEwTzNzzz7Y2aLJjwvc1U95I8RyBo+i987MvFlMHKmqdtqaja60WMCU
vizhYOPKVaBvJqvgAuxyeI3hVXQWevLejaL6Ieua5zmfVPSP9Yc2lwwUet4TFmTEeRt3u4MsK+MT
pmA4XmXRqF1WcnTvDAf2zjoexjPangJxk7HWASPq7rkVlI3HFMworqYe1PF2sYyHPPKqdTm1Fso1
0IfWFq0eFxMOxnGr3AyKY+EK6yXTTX6+4sRqPjBwMoIXgMZxAzitCsrt4pUoBRth2jOWaFNxkePf
wKvLA1rkaCk/zq5X7mOr8K5QwNTWCY+0c/UK+eDZCNonRN/IRSpFIjbVsCxVNNmxlqBi0cmxCBZW
FjbHxmvnM8RTvKNQSFg8UhkzKGeiL1qWSMxPbI7B1FmIQ3CuoDiFGki5SZmmsZQLNLKjUj++Ye5r
xyCmJ5K/MyDBunM6xbkDpYvyb6Z4N/kJjut6iEXFlcX/EKUFS3AyaUY4wB1zFLdT4r0CLc/RQByk
j9G2uxNHRVYZanBAouCycZjkPg420zW0QfaSPcKNPE0KS3RSd2YAEXpBILr3TyHQjRTDwGXMCTuL
ln103Y2FhwJrNVoXY98jhp/ZNNOaTrRfCpN+HQLgDSvCQCXzGU2k6bqNbeJ0jnqzIiOVgP8RV3fJ
GGZKlN3bbekFmk+7OkrIJAIhOL5chemFNwmBYIYb3A3kvid6p75gnHiA/OQULcDj3Jou6c0DldUa
ia+0gfo5diwDdx3nqkE4DguXLJp4dm+tuspaTguns8ocokOoVLtHT4NZ54eT5eBq2ibwFGp7vgvA
jj45kU5gnRuRXIxVM4Hwzvqk5cjQw/sRrQvcB7XMubAW02uJi65+l5UCfznc7F+7ppY7nGuYxHHP
ZDmxAHdrTCPLgkJdwX1lx9S5Uc3KUPVvtw3O5Qt3Eqs3WjO7Rp8I606/rzybAxMeb3EXKNYRLmF8
pj5XY3FGA0eh11QNnbFojAhsJofxJsO0Q1NYJMu2eE+klneOGYv+bnCmDFGkeIzCyLvFYFAiu5lW
csEx3gvhBW7nNBah/gFP7aBkEDV29grRwukWNLG9iTWLAj7I8njdjRkuhgBGdzlS5CPA60g7pFYT
HfFpHQB4RvOGf9XrCdLaIUuW6pLPX9+WtDaxkIvE4yRkfBAdQqG4onD0zF6+D+mcrubJFdusx2kr
82pnXWgB41lXnjMfC/w6N29Cj5BuomG81bUQHdBFz1eMb+uzcujoa3SZfltYhBgoT12zYiDNWCEl
I+mcPH2FnmVvvaEM9nIpc8wra6YU7MARDFXxWjQ0AzPag5M1nrGuSQz6WruSXaVdoemO/beW+047
5/upt+sNuXFwNwH+2iYcomtE0sfNZFlIgXbWJbzg4oavzbmM+d6Bky/fWXkqsBBC8s3LnQ3qhJd9
ioUb85D5SpurEDqq0z/hWGceSzB/pQ/BhARyYo4rs2LtDNdmrt+S+RUbwBXaq+0E9sE0T5L6uYHm
Ps4F7mgFHvSF5atdO3wQq2cLb0F3jtE67zVYrGQEQ+ULTuAWb99BRZBI2QWeCP8u3j7nfW2IM8ec
6+qyhSdSYY1MtImdhhW5gEVB/3fKovZ6TscEBTrS7t+U4qrq+KE0pllGwcHIAAFtzXhf9i8Dk0hO
PIBnJzw6aSw4bfw9f0fe/qn6gf1Em0oNKDSmQO8NtWSAPkRSdtU+KxwS255W9j3UMjD21gSe27FU
6XIKh78uS38q/bkuMzKwVVSmFpXij1UXJXlm4gpZ7U88uk6A6MvbKZu2o6vsq8q8mG/BFRGL60Fl
ub++On2b92+XPihVMRucm3jfnZ/RH8tG3Sn3I+4+xmrxGuPeU1E3cTEqQJUYTdKVVjWUJYo598YS
Ot3Cfzt2v+nYubC7vvtY6+fu+X/wY4i7+ficf/3f/+eXRfH1cxd/7rvve3Zvv/ZXy44OlaazOb5p
7PzVsjOxR7dZWZzjp37edy07+uOMQwFz43WuXHK4j79adghFMP+jQeLSC5T/SH3HOvUMfti95KKs
L9aFwn9Dlf9xdSOFiiR+GQ/7ErlrvCDibBMtBV4wXfc4O+kLxy7Cy8q7oOgZXKeJ066maU4PHrxP
X+u8ew9v7oPIuvRy6rOLAb8RwqZzxOUH7xJNUMUneMvMvYWrFfYHW8vMNeoiZk3Q5eW2gs3oc7ih
co1STEXzeo0tHFL3lpdu9NqlqtK5pggxCU30gmtqNdlg2j4OmbyHg8vhUaFmSAPgxRGVts5yfjzV
MYXBtQ6/hqF51KHO+Ys9mKuT2UMeuA+E5FvclF+Ghss7NsL5JcLqYQder3SxFXKQe0FmeGUUPI9T
Td0GV6JHR09gKDYuGg2n4i9U8q/oYq0H4Z41jXcWFl23CVpeDRQZ5lG5SZ2TvhqpmFaOw6ssvQbF
gpo/mg28AisNP/AIvAbNO8tjTCmChp8a0M/yh8oCdBIYJFCRUe6hbIGJzDBMdWqH/ze1bkYPTIL6
TaBLHvg0apiFjGsVzryCKsMtyO705SYssxuJWecma7lkhhrYuW0xmy1GzESB8LZrs8IVm2bYh7RV
kCTId2tZFq9zUZf72lQgnwDH1TGdMUKT4BmCTOi8B3nPRL/bmGBn/VZLgHXCRN1aHXCeUhsMv0lk
ew8jKb3AJjnwK5Et22rBjHX0WBxmy0VH2z3zdHF/WiRxDURntup2XbmsA302kYXCRqnR5P3o6YOP
jiScP82+GWJuKkygKVGFM6HBcWdNJTodXIk/7FCpVdTxsxASjnGrY15W4g3uDsAYncCZeE0sLIwR
Kx8H8CPr+XWSqZLp5dazMX6h0c23X/inhJNsNegCc+HOa313KPmdnLfU6jQo6Qovl1qNQ1PTNo+n
752HZN5DxrIi81q2YcSScSWUmbJmwtM7XnYA6vnKJmdVM79ZeRGrk0YraBO1FwDszB+yiH90vOQF
sATfH+kEFBiw7O55XfgJ3s8LX36s2Scu0JzD6OXLZeSyO6TbProk+L7j8oW9nsVEn+14ehkU23Qa
BD9apflLXuKpC/2pPmRGa2/IFytIw5hugfbVb/MWp2kD08nV2KDsbqrJ6pIb4M3SUlvnjcUr1bC5
GsOoRWEDnVdcj/ULrJti/+RPi8wE5KbRvIhHoEsAHVhlBf/nNBbppWewUU2NQOANUbZJsQHeaOwT
LRvimyGyj6ftZSYLvrR6j/OuhRdkj/viqiQHWAGUa9cIDWCUEGn4smhmuhl0tQ1TD5iV+rYCGXsk
RApE7wIVQlgCKMVLn9QKOQa1ypEOWKBpNnIH4DXdzHkmt5g0ZutRsJxPC0CtcLb4TWwtxQ6Be9QE
Bva3tSifLPWZu36kZwQJEMllAzVVfOWfq9gWezviUTH+RZW01wXtF5PoZccvlFN8Aj19DVPuD14J
cUWwm3PwzL5R6Mh74GF1gXHtdLQnewdO8UWEjPWEOxYXQQrqCAut2O8XTexDm32KRYR+MbuR3LoO
iwxnteJCtLhFLYhVEHvz56IlOOi0q+PJ2skoa6GgTvwxHbdjqzUdxegyQSyieVjTfz8b0T1en0x0
pjjX9pQT5kZkOC+4IXZkwcingyUmd0Fv3ESYke8WvZh3VUcwqaxh8O2ax8ZGOfbHXmcXuejDM2Pk
38ik3mKTISdjc9q0Q+ygvxGKe/52dG03LInGtm6MOZnBUgso0F2pjh3g4XM9oQTtxHy/MtPWUa0V
F+DvAF4Bepc0suAAswNO7xqVRwyac/5kr/NdrQIzTfqI7Vp48KdpVNQrNxPBtaEv6KqXVNdeUL/W
Lv8zRfyGTU+1FxNPLJHFW71pPnuasDeF8ikoa/chV84FKRYGYuyPrvI0MEcvPMzxpFrkGeTtNbWG
tjFSbKlXxZtpQrZ8SqFoDyumPJYDvUbhwZalSV4MEsw1UlDASIBb39thmiF8PkJoncO2P8QjcOyV
qQWUYEGoW/0GlSUgODTLrqPQcgJwGjCQ3W3zBqJLO21DtwNoHZhtYHZOXYsDIr7PAsGUL60cPlux
BmgxNKf01atNsVDsimVpfTbGuO8K3N5lnk6yWjWiNv0qoWDNE/gYlB/wFgzdCy4l0CSqP7MY2yPw
G889K6TV5vtuXjrxOIfW4EdI3WcXQSRNfKdooGMMM6d1fLTpB2M/YhSBuC2wCjtErnP/XSp2/ZbB
/NKZwFWDKw8mDkAmNA/fcToydMEXq2z6vRvP865ZotdY4T/NwrvvGyAtNmN732Iesv71dX8aYqnr
Wnga0jLTXFN7l0/JGewgNWi/18dTsGMPmnH6pRghekzVbwkl76sDdTXX0R2mQtC13o8lES0VFt67
/T6bWSAqE5BpICBnI0f03yLglMv/pggwwUUyZv/7sf391+m5/T7///Yb3woAqZiXinqmo+T3TcT2
X1gX5w/4icyUkd78luV/m9mbDoN5EF+uAVuTubOkGP5WABj2Hyr3VyJmp+m39o/MOHXrtBO+qwCY
KOLQDuySJQRFlGv9WAFonRAYrpcMMRBA+DgIy1212fzZm4zsuOii3kSCKD6h8X/rjt5ly3jikUy2
vqtKcVdrTXvoIQ2sas9dLq2yF2dzYDrBbigTgm9Ri2cq9RK1q1KDxuEFGPFAUw3b68K1ye8sK06N
fCWQS3HPFr3xjCOQP6380Ga1QT4r0qU08Vck/7j0qgZRRF8b0ACYAODgimvB2sbncguUVXOZv6Kq
UH/IvKIjaXOLPNMxF54c9LSMQHYbN9KsdhvBB68OHepTGcPCIvU0DZ7IzDw7Jn3VD245Gw8WgZeZ
8IKtjO13wB69Hfrcs33WIy6gBStQym5yH6AVxdhXd9OhXjPfKZ+TIvC+KC67u16Mdmqxr0OVd8AU
quVQx2KuSap1xy20uxQR9nMUEQm7vSOj8yBRRcvYuXa7RS0nGTZLmSjMepmQbSCBNRVxR0O0MDss
vidvMwLqeAIKZyE4EEbQBOK7MMsqPlafXNZGQc1gjA9JGZu7pCOT08HI71MytoV+Wxh9jKcY6a95
iM/oNF+WVnMe0Sz+2IZ54fdZSwNrihChGjgGhtD5DFxppCk+Pi2JjZEQyVQ6QTSb0odp6ECnSz05
eJ71glhEszGDtL9D3Rgd5UXku55XijtFubLdatwxb3K3nlHsDClvhyV+cDIDenvcnS9g/lbgDo9L
VLt+3ndPZd6iTVIW+xRdnbUbm+uJPHTVzvBKqgo+G3pGHIJ4WpIcPVSIQq37BlWTNB++wl9yMKhc
gutRlsy5tQmD8l7ZDSCzkqKBtrMGC8j2gjd4YjrrgdGPjw4QqkPjEF2gatRceh1psotm9JlbxvG2
mBZ7RZsu8pe29l7i3hh2+UBm5zF5O0zNPG+q2ha36HBY2KaGXwMzKK9s0d3ZXQxB5v+zdyZblhrb
lv0i7gCj7p7DKb0uwovoMNzDw6nBAAMMvj4nfpUvFXH1pHzZzp6GJD8VVu691lzVXB4QjyDVz2R2
xHLjbYbM9DZ2M7uEjbqEi8KpPrEupPuuE+E+AXe0dVMjPIzeBPOhqE4qxaYWs3ZsIO5n9TbW2Xtj
Ow3dhLoia5s+ZWhWXIiI1N70tZq3LqCejWuO5c4y+mwTCP1o4e/fgHl6Msr4tBAVuql6UPyuMp7d
OTY3dqHzc9oS8maQBfZpD273fVh87uAkFRSAZWg+t95atDaLy2oshguPfgj93i5oI9tZDGLKPJJv
Rqp67qaBGZlEXT4u85YGlXEUhTncg+yh+VTCOrqlsljViNfI9pI4a/fQ4oNd7Md+v7Wo5j/2XqUw
X1hLQl56I0gdSDoEGrbi3RhYxbIh5ODHALcIpsM43pK2ZNH5ZFgk2LasTUDR4qPF+WXuEt+Zz4PK
alKLpnkKD4qhpdcYS1NvERW5OB77SX1abTvhciMEc+/pYUg/5xwsHtIQBAI4fVo5XWO37197l9Ei
NqlDIiUaPfMircOK5LoAzlxriAPNUb5ZAfh+zr0D5jZWCc15tjET4lttrGe2ROVnytbexeFChyWh
OyuC5UVbTvjkZ1Jfl7nxxpR6FkvGcRI4FwVtdVZG61znpigiiBI5MaTZR9wHXZQJmT2BDqWA7Ek3
uxJc4Sy6U4sdUYEniqGKv7WlKAL6k3Z4KZ2yOVuhIjDLHi8BWcl7xw6NB+rd/pugJxQlRUg1uVpv
sUOSMo0nzVUwbmq9n8vZvPLiudmpmPN1opS6LnvMnbxOvafPwulrnbWkGnl3RPXa+xhQKdFyZUpX
arwtU3IGsrk/TpaZik1MvAB7yQKGD1Xy3WTPr9wdXYKzqvBHJ/o7XzvptOkLezzagXrx5pxgDJNI
U2GPJwdoUlQMls2tzJKKnB4agbmhjAsE6CnNhMGiS4E6DGkC4fG0J/bgQFkPgvk6I8D0ZjHM8Qp+
FBepeaAjWmux0T3V/RHyyyqRSA4k1+mNOUEUCfMcjqTVHVCpEDVjqytaEJDQbaBgJHQxEmljn1Th
uBtvIi8Zdc79gHdywy212DV0GNZ7cXhsNUibuQ1P9KvjbWNpYDleWP2YZQMdc21BcIc0ItkXbZRX
xBhuQOb3j2GWh5GNrSlqnTKMUJacQiPEMmPIT93632jAN7uFNKS92UsuY3OI+sPh3pLWOt0PxNad
Yat9rJmlpYqHC0uXaHYmt92W2Hhv0B+Zl0LzYGtzzvdTpszTgmrraMAcpuZWF5uxJvEo4LKCOoHv
jHiVjm5VsN613vdlQSRR021DtqG+41wtLlwJz8+a65XrO82k8eTWJWMAaUrmpNupKD4Hj9ualst3
6tqwbfAPJYReujH0HisWG6Kx+fXC5L2S1oQ5T3W33InjbTpa/fXkBCObu5C4SpPXxnI/Zdj+xMdV
7kuXA8OoneeqG8BjFj2t8oCXWjqn28hBq89ucAg76bELOSyiKI+m9LZxy/wuBMFzMgOxXCIW4mfw
i+9DFVNeGpldrFLjM54yNgxlP2SZh4ErAc2V64B13cvKd1ETolKRV3canMrb56M/b2siBfYU9qtL
ImpWNfviYG6e3/s0njej8PzNBFZmM6VFsTNJ/n1CmrHcFlCT+EEXmsX4iwdNQm4h+fijKvJXpn2h
rtau72Pru/ytbc4P3RCfPKA7WwI8oDnCjbx1MeK9+rn3QLtjQsidXDt01I6oaxLAgWku8TnCwQEU
ljrfuEMTJOB63WaGkeQssScAjPoJT3qcZtA41bzh+h5ayHnEh1vr2o1mnjNmTqu5AXqojuaifSzm
bvAdG6f5Opj6Ry5jdbOYtpHvRjixx5zKAR07b9xZS65rVlapxo2L1zgUY4i2xXUZEWZ13wahe0+e
HM5HVk2DI4aQVCadvvzsOzuAQ9rnCc+UknsDpLTzDlJaLlOmJskLR0C44K+mTB9B03rAFwk/VZmX
WHXylx5F4nudUAqbUqCzeZMm2zaxP9AJuA81is4fFvQlYGiOFxYbIxv0SU4N5qSsSPMh0u6sf5hl
UEayGfqHZeraU8zieUX3FIds7d0uXn0R47jzaUuKRh8JM8kZzt7of8SJj0BJ9D69Szd7dmXn4JnO
3KirpnLnZiSqyEYuZdS1frVrlN3cd7bTgVvkp7im7hTQdI0bur9cO5No6QIFjVD3800NaeWQWF2+
j/1J7S36CTvJ5zqozjMOuUuuyqH1y+yZ1ax4ZosbXkoyqh9QpsdHM/ezk+lOnHjj1ju39WgQ4Ui+
GsACgmCfEgGbCzfmXG3CJe3OXLiZEKk5FTuZleGZ+j8FgEpb3HudWtIQTQinNvvuTi1aPZvBMnwg
ORiPQd+EF02eqxv8b923xna7gvnXwA62aSoX1UoF5XS1PIWdQr7B9aGfKBexwm65Jw1hhMPaJkcK
S/C4y3LmwwUQBviEQVx636Y4WLwXDODZEgGOZWcNBidkInZaoRnwYGY7eLKuYV6lr6M/eQaHleGh
XGo0cD1EzKuy1tkr4IZ638VB5UDz0uVpGCg35kGeBBvHKahT9VDpnmERxHfI9Oujrlheuyp8mCrO
xn3dDu91VTeRkfpEgKoluehqjqRlPba0u6uxeiSvh1Ax2C8HqrkF5pW+3c9UsKhrtyW184XCndtJ
dz+horqjhNXBaFriirZ5Rvkzt4bLql4IMBd5DVlOJ7cCgdh8H/h519zoJNVuFCbabL2CajPir+yj
kmk49wF5qEJgUue4ma15JIXfTs5D80dWyTA3gd/1xzxMq3BDCgrJJqV2IIX2BH4kLYiTyLEK1lEd
lBRoe88+qtRznwX4L6JCp0T6x65gLr6jM44jE0xZcpmNIyYKhnCX70SQTJEn4ARsC+qcrD6qay5H
BSto6KlF61ZxF7Ba47C4XhqNajbO7dTJU8eYjAZlZ5eS4uo2FoP/WXWN88PEZrdsuqxTOaBH+dgX
YZy9WlTOtpUTTleK+bgJMEC6EcXO4GcTyOToDRVHcMqQxrbNOv9pySdzl3mszruwL4t9L/rlzeRg
fYGNl9hj7seNL80DqQ7DeRGtupMyky+pdqr7abLc8yKzaSsqR+K3t9BtWBT1sbwT4tWYMaeDtugP
uhitbdflDZzltooIDHe+9Zwid0rTbltqK98l7HUcztt5p0WndkPpnwxZj1HDxf1eJVm476C+v7mO
do4QaOUmLliZykYGGz9r0gMAiBEj+SqUyir8tzgMp3cKZOOBJPMbW6fhBxSGG3CKEAEVSDIpxHxs
rbLlKDUkl8S+UngH5TPtGDctHTvt7ijkcb9hUJog6DOSdOMq3RHhmHIbMYrvPWd62hl+dTSy2I6M
iZ2knrwaH3CpekJyjHnr5Cs3MHYILA5940bZy3wv8YINuiivdDHUWzepbTz2FOQp7abpTyk95yqO
s4yFtk2A9RrM3Z6Ff5BYh0GibpcO5XJXkIpLBNR8lyozvB51UuzyOvOOBVadnSjR5Zl905wz07oN
AuqxfY/AHv1O8tb7dR7VzUx4lbTa4LowWhDalUkrsoyBbJeh/ZrAUabcu+pKK/TSr4bsX1vbB9Ix
BgfH1ZYJaGX8MNHsw7oyl9NcketjcfHMUCOqgbC2pASWa1N98BMv8hagAaGd7kaeFg1H/YLT4CJN
aIUt7Uedly99Pq7jbTCb3aBqxKAQF3fUH8WGnM74TNqy+1b0OgYKDbGaMzOx9kaNXmG3CpiGxNHt
ZePlNaOl9w+WWfhb0TnZJVi54pb6g2lGg6OHgMaZOV73ivN2Tv8uatfyjw56eQpb8LMLKq1jkgfm
z6nmiparfDySHjTQMWnFXa58KgKy+6FSrc5+BendRFV4pq4VpeksUUR6iKTIIzwLvxrvliJN9knW
vnNf4yg21yv2YsmrUz3IEfPR2M/Po4rpVozTlQ2r8Ymj1GNmtO3W75R/kXpIJFu9cHBs0lM8LdCm
08HoonocvodWS1w4FPk0F0+1wZKXjw6iWA8ROCLq4DnVSJHstkNmagY0FrGhPi4rhMPFS3pBDMMl
5LtXBUEH5Fb60HnWJ9EVnP9mTkd1IuuHtBFIwa3yZI+189G7COfMhFRYMPVPGlf/p5SVQf+vDjy1
oerB4VsjOdssXnUfzMqE4pfkyKxlAHAHxgs6wZFu9Cacp/vWspZmUwZxTNlJTdPe7QEJcvivLO44
9IUKNO6UzisSkCU8bY+vR9cW43aqDGZCtfPMojuLmqPkkiWaq04c8aikf1XkrrwZwVUjpS+MVVxf
ZNbGEwj2dmNA/ttuMFN5jdYnOPEP/Cfwip8iEfdO3rB4BBnqcWkW59llc7Xs6QeNw6E9FEaR7BBY
OXQkEby5pT4vmV8w1a2nji1pW1pKbgax1gJlTXxFuCIQLZAjzAlOeZnlHoh9dLY03FgSPN0hW84b
CvhjC3pnORMTa24ROJmnAtJDHPacdUqUXXnrn6U1qv1kF/7OL7zyLF3Kf21o9tuao/6WkykQIKe9
7JLxDiXsh1lljPh4dgm9q+9aR9YRhRkaGE4hEC+o9MDdhQLiUhk3k3CeM8vpL2CzyghZIB1amh6H
1JTJDgqWhS6Iy1nnDj02oMSkcqHoUBbuhySX9G4wTMpw8ZShQZ+/F4lF5UzN9t4v0Lrlyn4nycZ6
gAtURJ6ep4484Gb66fb++MDaJxANuN3WN9vh3LUUo0wr31qx4VwRGGBQZ8kyOrJmURxDr76CxdsD
kbQdArKzKRx2NOwqf5ObaXFu2R8tdHT7IpvlWw/4+dWFE1VFBX2fH/RvYr215sJ4a7yqu/HN0jjm
bHgdGFpfH4MC17ZfcEVCrpITs5Ml5w4Z884GO//OOYuplcjqLcut4KaZ7PiKsMjhh5F5n0lnzRKN
v9GfW8rQd4t2Ypj9tDO3MjOnb4F2h1shUme57nRAhvfkV82BKmiFehoyT7Ssqd9Wk1l+5BWZjqTI
QBtnyyz3mcT27eDVvLayzqXzyGZwzOLxcU7cb5wQ3AcIVM0euaQ6Mg/mndf1Fper4GlaIf3kzIiH
xFzFC6l9Qzcuxr0OAj2v4mBr+UJkUbnKAC8mwaHmsqwprbZqTC84Qyi9T2CuIXHIvOHs1Kw/Gw+g
Rn5I4gmlywSeidZ50HKmqZBK1lxuON5NjXQRlzTdUyed9qJtg2Ckj+eHJiJ6anyzzIl2Z13ARqJD
+3rKXPNx5AW8KGiH5XkoFGgj6ccUjShQp9BR5v7KHuRw6TN6yHSSkzpMbZ1dLlLKLmLDWhUrQ8KJ
aZ4UgQQKfWWn1pMQq8xrVXj+d8SgAVN7yNVRwuUC7qNbDq2BQ4s7MUraxIGtH9xBghKpzUKSVj8j
k5aCPCTEA8kHkKI8iWq4KRq96Tzfz8Woiy0d/my3tHrOONBz8daCLZojaCUjTEGfE8frHS2Cu9ng
WL/AcjnLwlORK4fpkGRxe6eTUTznOSfwyHVYsJfOtW7B21gA0NsxuO/djv2Utay5LRdjfKYbNpzt
tKUuUy1hcNXNhnrGlgLbvprmg5AY0bm89vZdT6r5fQiQCUGqFYcXhpGSJ1FmxVn1wfgA25diKLpQ
ZmlTs6xuALfVgjNjmpKQ2udMymkFNQ0TVcGN3RHCek2FH5cCCnS7JANdzO5eeZPLk67yXay6JI90
0d8uCeycjTdLsVsdMo/m4ifn3GGprMt0/ixhL7/GFnZ1dgoSgah0dATuhlifkjxrnwfPbQBOsesm
jcNmxpCKuOxkOzPp84M0EEqjU64uulj7p3FCYCDR2VzCZ0CJXfiWedmQ/vdN5bVCkkSHP0qNydl6
nROznCjjThatvCbvOIBQbyW7flzkAfiDs7VlwSgxukldBcRzv1C9NdjEJvlocr677EBE7wfF6Z9y
pk+VxkjvAQeN2yBMRor2Tb5NZF9dDSr8YYwWVwerio9e6iq4VYt1FY5MDTsnHTlrCSRIreC21h5u
FsgnZ8/wQXl6cRk5ilvHwIlxS725O/dpOFzhQSsuge6914G2dmNM5nwezG/JXKVbsQaZxEFOWdGK
gay03fxkZHa8Jxwn3UmxIG5goB9SLFLbsZvFqehxcG2bop4FhbYlSm1NNx+uB7RwUnYNc+leM/Kv
t1wVluPcaaKifasfbgO/oQ5shWUZ1a4Yy3sNwxgPI5tN7pJTQT1rLC4NImgml/YNNVaLk0aT7q2C
DGDSFq7dYuHfm/Fdb+v5ZlI1deCxeAp78WInLNauUe8yUn0jKiVvYY1GHepRFk2oxPHPIIrAeNHs
BViF4+SgYU7y+yWQXBVIviRl1YTknSw3dpqhgcjbZ9m3+S3EB3Cf4sjBSh3GxRm/G5o2iLCNF8S4
5t5cOCFDrM4OcmSj1sHwVkHfv5uG9m5oRDlj/AnY2iFtd1FaGjeBHc7b2BTpqa1NQVKR8eEY/nDV
YErfdKz/CFEW8nVx3r+oyUWGUOnLUUp96sr2+f+3rf9v2taW7a3+2f++bX18m96y7M996z/+5I++
teU6/0LAgDgVpKhruR4Civ/dt/bMf+E0X5MfA3AG5poN+UffWgiIweyMIX5lx/HYz/+rb20F/0Kh
4HIpWa10/1PhqvurKhsrtE0bjFInenN6iv9B3jU9Ak5yNxEP9KMlVfilAtSEBqzptksJCVA6SXeH
mrX7AVhOPKZpYdyLsJ0PtUOUHefIwN2WvaYMgJx+igzP2qrQoPypR/nKhYjX8QyARBsieLLbHLAg
dT+Jw6tJdbGnWEwpDTHopTBMaHRhPUVZXsyHRszF/ZLbyzHEHLxJLWP4SQMUHFfqTM6NgcH2RuMZ
xA3Yq+kNwuX85tvQ8lZdv29t02RE2w73aNn7+HrP7mzI90Gk+ZtKpvnWKChKEd0yv87dQgCtTLjK
2Qhufo5dYlF3JR0mEaZ1l6TenUViDrtX2Ytvg62X4h+ULr8JB74egYcxnKcKQSqwVorHn+lJ1eI4
+cpVeYC0F67GMZflVK9rUkMJgEQOyjabTFThLWUScVmDUwTL5QU01LMCbNuSQunzfbc5UZkdrxYA
ktcC4v4HGbPGc926/X06G5oSaJ5fDShZU8qAqnwqS25FlAolIRl2cxME3TdSf9wj1cRLP5nEo0gF
bbbwI2+99v1Pk+QvZEWr8OJPeny+NMlx6wCmLGySi/q7F1+SO5XEJtc/vEnxq7U+/aRprBd82ziN
fbM7kU3Qnap8QieY1lxsKwPie4+WEX20Nt9lYfEzhO6kbxLuG+eJgudDPPNPLVqRn0I21kWCDfQm
JRf0EnybvnWD+Ik7vDiEVD6eihrdHgwp85jVE/cQozMOxbiWtfGGUWGtGNO2MscLc7E/am+4nDph
Hb84SzPiY7UBcxhlSF53mqT3nSnDdO9mr6UM8zPdoelHlqKPKhU3O9nBlf2ynXWIaTcxoM2tHGlR
Z5O+Z1IW1/5ImlZJotSxsNdrVd6xSXdeH5G+4V5AHAF4TPWIwPeMqPLGBzjK9im2IkO66Ndknuia
p7Rhp8uvqtRuL+egFM+zquXPoGxhT9ZTt1oXXfJp9OJb+xoU6jHUMrsolTKv4jViJVghnUQD8OWE
jap316ZLzs6M9JaSPVdXaKv6plcWP6jIkn22BGiQ3XVuoi9BYzz1z07at+8hDrpLx+nCrZlo/Q9h
gL+tWS56HRFyTkAgZCNIowH464QR5MnHyegb95SlljsVDvUBaU35NGv4GJ2PBJ5MCsZO1yw/6C8u
2171kjrZNKcfOUfFa+mJ+AzPr332ubRGFLzMA4SWFzLekOMOXvWtanmVYiSzhLIwt1QcbNZlE6++
LJUsu95NNErXRtxrs6OA5+PhRppvzFeExHFFxYi2H7GMrwtqU5w7VyoLDbkhMJQNLa/JyeAaBfBy
9zVsZY4IhK7XfNW1qFBhHMbIOALzJTCq/jkkB+iZEmGLAjujc0y1mYRW266zdy4Rh7bp6KggbaYm
Yg+Dd3CIYfF3RZAGN4HZNvM/4CXEb7Apfn4Si7HygCYRLsf7dWr/Cb42tcgtk6WL70UnPSNS9ENo
ALTGQ44Z+6qzYFijlOyNx3zORlRKWobySnd1qg8BUQjzxmYOQnos2/gcEJL2VoxeR6e3nWSy5ZQe
v3bOzJeBnmCd2mww9n+/9vzVF3DW7RW5H/uycH8bP/VS9JxZE/++9PBj6NzS19B4k33LubhbhR4L
vXUChlyxGqTq1DUoEtbyjZAL98KavPiTuYfunm7km61969KbNNpLIQfyZCg2PRIHhkExpTwZbP7+
swdo5v60bq5jH8W046M2E/g4nN8/+1RRjF+cyb1vBtfFPtH38SejGftbR9jYk7Vky1UO0u6m9Mf6
oEC2c/Sta4+qYTaeG5DI2ykU3al0p+4Ec9F4VF4VHsKJ/u62a4f6Zgn67NIXfP+pClF2qX7qP0e2
CR5R5rz38TSczGWh2Fe0BLUMzlTUBx+LCPJWd+GuR9FcIQ56FoTHHY3ACM591qJyoOi9L3s72csy
1a+dVy+HbhrjE8b7brfUfh1slRD6p5XQCqH/7RjjtpfC2uHVDCkHFe8WnjFKDHWLqkbKU+mM8Wvt
M9U5E+jbr6kXh0by0cWEAu68gn85kO50XnQn7rlgzwPqW4TjoWjTD1P2y56aTvzKyBt/OmW1riDr
T5P78RnRBTI8+MagHypWPpl15mamKf9octcB1YB35MWv8h92UxHNRlfoBAq8pwUh0GE7pbhM9dRH
rl/qa/Ro7CV/PxA4JP4+EkKbWPHQAlP0dRz87djAWo16H73cfUpFEOqpyQTbfK3NNB/bwxy36RZn
HV8gJbFxz1FMvnlCLXcLNdECxlZ/So0W3nCZl+cWr/e0mSszI0bIyDMQhUm9V3RWmK6Wb76vduhv
LP/qXUzO+HPIfMeI8FdVPs09LOgHutbl1YhgcFf55sw4cGrSiEq7jJENWEQ80t6shmOQGJp6vIRc
6lTf9NRYNp+yn0uo5dkhbD3jzmZigTEYzOGj5SJ3x/hK6btgodHW0h8cZu2Rbut65Fyfq0RR8dzr
4ugaBbh1TZoaeX7zswUtIrKbwN7weVIEXDkTArAsgzUXPTd17Io/QH6RMTaOxbmxchOYbTkbG89e
2sPSirS5Ejp2wq0civSJfSB76o18FXdIGMGbBpnjM8WdEONy0XoJ3Awf5VNlsxoQ90BophH61r0x
TusBB6/h2Qw0W1VfeTh411AoG4bFTukUsX4/FCx5ZdPzQ/UT6goUPAPTYE7FsjJ+ceJH2KrrxyRR
PXgEeq2bxcrt99SOsxmxnSeLC0Op9fgTznfEI9HUWZLWfK/oYAH5ayv6IKzsa0djsS4Td6L0zEAI
6AuRXgelMyUDFMXPi0XqZcB4GpY7AsGokEGI0PcdZ8ujWlNsaPMsy6fwiuAUDItB1hnFr03gxbC9
zW6ZdpgXQnSakNMph8SUzkEyZJus5ZS5YgYjhSDCgKKA+iOzl/IT6829wjuQAU9zQC5PhU+ZmziB
a5/q5a2AmrtlM6C214fzcvc1kf6/K/Nxlpgr3z6qjFDdHmLzD/XnayqK/hXU9N/fbJ+z/gdgx6z+
i7/643IbeNxtOQRYruAcgD+Tq/Ifl9twjcNhgw1DAIUAKddb9B+XW8f/F7uYwCnJfxE+0vv/utw6
Ar22TbwNmDABw5ZP+D8AqfEWf9or4R7C+HVtPJkgTumz/O50FgjhCuRq3r+jGb/wW65FttYyz4AH
VEe3708/0F/cav7qDZGLkhgEgYtUFr7Yn09GBd9aClm5F7Yrgsgap+ywhPAcPGz9xwRO1j+dhP/i
C/oYF0wgizb21t9NErm39KHwnQu/Sb03TIIQNtZox94lieHvv9pvdYL1t+RRrwc+16Oc8Tszq0NU
kQyF5VwUa2Itmu3u6KolQyMmEuBtNBee/CIn3eufDeu/Hnm+HiMjyWU00JZhxVx/9V/OmyzrptE5
F73InVMdSPzbhltT0iVssvoHn7j167b69W6MQFQvrkfcDTWRX99Nc8+vfJ05F1Pj8UY+WvkRtYbJ
6jQqHxZJTWh1eq6IumOR7NKxfwFRBXRDl9BTTFH/U7L9f359DOsrBhBnsedjMfj1A+VWin46iZ2L
4IulFq6xGiZgwMP/43utuVc2KgSLgfPbgEpyG+jJPDsX4IlI3wXb++GrSt9/ob7+fkCtv+P/sUus
v7NnguCjYOqbDC2Xutifn2qmJEyHZnAuxjj9pEMW7gZBVsjfv8lf/XYsQoBFeTNWqd8eJp5rx1ei
dC448mP1xySJBMoDr2WRVJn905Hs14vRv78S/EILBDAH8/+AKQaxbY2LYdkXuciIorTXaHmajFy7
y64HjQb+7c3xZiZpFmpq+grV/0hl4O+/81+MYLItWPbMdapSQPttwMTC4j7A4fdCB0qc7aK2IGSv
QYLS6BmhxISS8VAICky4X1dA2Tp5XQlwiRWkO/79p/mrJ+BQgacIzZNGMvjrYy5KaHMV+sqLL8Sa
aRJSNiHWvXAksRX/87eCLQHa02drEb+PKC0DAmlx615kLj9vGCZMWaPULPUcn5qLv3+zX5d6lm9U
uwS6rSA83u4/hq/EOlACYDLONEnI0zQIzXnlwAsQb4I2NNJNDP5hLFu/LsHrW6J2oExMKNX6gH/n
OsoCZJQH0PRsou4/0FME2dF3vb73JgPaWx/zXElaoIwakDT9RbqrNPmrvlGDJAoyrz0ua7Tk1woC
hkyCQlk4LVOPMlZgzxpi/Pc/EhjiX2a5y8bvs5oyECFRgt72fnv89JFyR1e2c+5J5aAFgrS/yTxj
T/++GJBvVbNOgD6hrEOwncvZ21m82F0HjqTazflqwomrmAcZu4n6WCDtfGhRrLXRrwxY0RqsvGjf
qKq5FqGoGysh07JdI0JLj1AtM+fPOvxalN/4u6jPhX2aRN6+qtFvLoLEsc9dzg+4mUlHvcXKBIQR
s1n4hH7ewIgfxq11tHqXl8Zt04F2CmFWbkEPx3hwh8z2DmXd8h4Bv7TXpySZt6sRCkMMPXUsANY1
In5GyL/5Z0hXlwNhd6F3nkBSXfQqQfY3dxa8uy80KNLv9tWXNc6qysrme8rF1EOFMkhGBlGSfbdm
AjeQVNgeAuGJNOWnlgP+a60K763IBKPdyYX7NlshcfLElrBDj8ScV4SK/5BLLGD0++1954HmcSdC
Yv0sccYN6y/SqClEs418wbIeDZtYUEcTpI2h3dja2uEXjUmwxpiZHeI1L50aKGFRa56rWgS/TzjF
/n3fJ8uTGAlil6HDc6o8QIiW7vqPgms0OgwM2rulj7n2BSv4cJAz/xf9Y/sE4o1XqdaQ2kXxuzmD
iejka5dD+wMms18p+fQiu/xIGZcG/uyjB8LA7jnzBnzM4mOA5WBikJb9b7aimQuyYpvZg7ZvGtAj
v+LE2wzTRFTYxDn7SCHI/M4RT5PCEszozs0YXNdX8Kox+gSZ9s6IrVlowYcBwV6gi1vxX16DJpkR
nMzJrlpgfqZGtTK/3EoF27gJIPH5M67hjSqIEiUPwWYsjwSkokKPedlAUbnVhg2azFqLNEr5xeoC
YV+miuuC+JJ2slwR4LMkWyur3LexATJG8FaIa6vuwjJyZ6t7SOxFHBfUoX4kEs/5Xo9jTbBUNl/R
2S+jFkWetSFB1wr2VmZ256xsxlNSzrxNX2q9neoFYZnZxx5Z1ks2bbABY0nw3Xy+DkwEdJWToiap
ipASpdujbncNZzvXy/xYhKa7G5pUynNhok2oGZPossy+vlOyR/MAg7vCatWpz8AhgcsV/nBNzQBF
4qxzhDJDwcq09pmq3QR7hx+BntKLVxZdv+/d2fuxVqoxZNT1ZdODjdybaMfwtQ0yiyyo9Jgjh+Y6
zEdMDDWJi98T20C/Ddzoas1fOrT1DKJyVn57CPrJe4Ucp/Z425fvHpfes01lZ97oyVm+12Vb7PBT
Uiu2Rh5jgJxoWxRT/T2X5J+hhUupxZudT4sAufiGtLdeRF1XGbuWM+Bm5PCyx5yv1oUp3tQIU++H
ojdONSqAU96l/X52h/knMpoJI2hm3M1hU71kxegQ6lCjPquzYpNDfNygaHrzlcP8IBY+igW992Ek
yq6SDS8UGKS1pybLP344vHod0rloRSuRwla0IV3ITYctPiGSpddrI8cKgyPF0NmNariENC1i3gif
SxwRZZYSIU+7HilpGsF3w/xTNcM3xCPIbca63w9ugc0iNX+UCMlfwjIT0FEsve8Neh9DyecIY1Xd
sSsRbweQJL30nHbayMTkifqJyC+R5NS3phrkLchWBrXhcSJ7I7YRjJvImRIUMLExNVJhvPL0Gros
bA1zi9VWfZABw4LULKH1OJsLQ9ZUI/BBXBvJLhjIfSFWLcXrQPXABJnox/AjhWs0CD+o/X3lQ3+1
XVQfsh8Hg4tsHbHumr+yYmhNS8NzLTLFEvQFCPxCrRqaexR4U45w3kjMMfwYpv6QuvhutZProwuy
51WCbOWjwTFBDkKy9ato2oTzHAw8oICERjHn015W311Se+TnLEcHp5+vYsATqt/VuTP9BPHXJqit
DPcZrgu+pTTsjyV5SCmogyQbNqWVp+/9qN5yWqY718mSZBtT2etfkOkMxkP2v9g7kyW5jXTpvsq1
u4cMMwKLu8l5zprJ4gZWrCIxz0ME8PT/QVEyceiWfu21aDO1xGJWZgKBCP/cj09Vae2EGYnLgINq
6WK8WVPPWRNsdafNiGr9OPkh5jWfNpzHAS7EnRtWX82MUBxB5mvamdQ8uxk1Yabf9Gu7r8y3EDjo
2xTH8j7sPb457vhkXSNY+Qs79DBoDREQALoiWu/gOhQnr5TEbrNsQYKOy7RvQ9gHvtKPNtOHM9Mk
686dVKwtmpxM2cLlW0iWbHb8J60YVLFWRodRuWnsK+p1dq3xgd/lMeVMTWm0r/geMuIak/W59N3h
2LkVyS8nMGOCqMKKl2mEq0j2k/Tpz4MX0fqBg8NT2IdRDp9pypP3sgvTWwN+47mJQ+dTKt00XDZw
knlWFnig6tEKiUuP8blRjnXQfOmTDRrC9gX/X3XMPctfF7FDtMvVtWBhdwjU2H+BB2psZjHloNbT
B2YHniI4VVgPLvL0biisiXxMFJz0ES2ti4jT+EMon/usq/u13rZ2fFCxUs5SlNBLFiIgOndxlS4r
+CJ9S0Ks0E4J5MVHHU4PCdK0J9xpIjOmtIgLeZE84b8aQ92e+6qiyoYH4bFI2hxftx9h+SXsZe0j
FrctsUEDFiQ7Cw1LsDfchuYAc6V4J3S0LHnPqQLa1IyZc1KxyTJK8onuxboamMmb5L2CZVaU5rnz
RpK7o18bYi0yz2ZBNMjTmi7DD1+rMepWlHdhwseWNSu1be/Fdy2pg8feGNsnkY32emCKvsR6A2ES
XDvOQ0riSQ8nHgAlaopwZk7o8wQ+0kWnQ80JtAGrus1HdTNMnFOKbGLc4JRBfDV1Tz3qjdTOTtxZ
lAtatbURmtV4iwJa8IaclUNAy4z9dttz7X6l1lt9qAgZvkKC896kC8Bio1duD7QjM+hES8rMaxaB
oOV+6qY6XjXRNGKf7aqvTkQapE1yi6ccktsBpReXX1kWhNYV0KWF7TUNVBxSAFomCWTobtARFmHP
Hk4j0TkdiyITsR600zGlmYmKLI86Rxq0CFGFU3KlRd3TFwFlV9cC/1O3KEyl3UaaxbeWISCRTKgk
zWYwdWuk6W8n2H+10L/TQjm4IA38dy30KW6oNY2RA7+B6/Zv//e/+HnmH/pdCvWc2cvDv4ICMYPm
5pKw36VQYf0GsoKpnc9BaK6H4GD3uxRq+b9xLAYYoc/HOgTJP30+oCv422hI4AglTNN0/xGfgoaK
n05izCE8PMb8lfwWCEo/SSFicMuSJ4uxE+xyMxjvpZh5YA7ZmLEGLmWtVRF8GgvByJsUY/Sok+NY
2jqHlBjp72KVLnaLhtyx41EFtG48R9xEY1gdmeRlD2UxUsqI4LOvg+6B8laFOtbXLzpux4Z7iA/4
Echk8WR2cO2rXLInHkyteXOCgsfxzNq0R+W8FHrNM5zNtvMCTI0/RIKfw5hbal9Sxa2eMm9TX+YW
Mi8Bw2/LC7fUuslb8rMqOQK/qsQWVlXxIC07hCcUar196TvTmKl8pfag2QzjF1NUDGvQ3uHCq4nJ
tXlc2yvYg+piNAp0Vd1rn92MPBkntEHwsZSmuTOUDE9JZRAFYYc0D6itkrGmlM7GqHUQGm362c6n
4hhKjl2OmOyVA+DrY5O09F4agQ3vycUuRWj3yTST8S4vHSPc220fb+kyrm5IreveVgWRvdfVoD13
bQaFoVXqMdLZoVHemdmLeuIE94RcM1DL68KUXU9geaoFO2oKDIJ32cOb7M681kxX6o2G0PnQ1MJ+
6Sui9Qs3k9WzHdri5Poc9BQucz7l1OCzoP/RePBTh0DMaErjIYw7djdZNScHOytji9WUbNxaJnRz
6LNl+2axVJEQxHyPqRf/Vr7Umhq477vIYzQZW773f2Qnw/dKiSlbLabM/DlmcvyMY42pd6oKVT2b
DAjpz+lIqMzQwnkaBPy3G+baX+jFSBShosKKzDeMUJpCOFf20HQXDWxbCs4a23gwDYe3kQN43Uqv
pEZYdb61p2jAealUxqmLhZdjRqPa6egTTOR95jBPkbA5Nyf2xBvy5g+F0KWdHLsUmPKBSDa/gDRq
9pxemKBFvLcXZLQJBoswoI6Rg1hjJSuhvMxeYV51zUswZDLYtF2gh/uuGjhjhgQx35KkhLqess1Z
2Gr+awHqg4KmB44db8luqAVqRaiLoTOFRMGCBzr/LKYOAYEzNp9gIxX/Zqo9a2+7ub1XHAaQBloI
7O+VY7ZW8SZAiuk3Ih5c2Mm8ouv1nC0HDRlEZgbX5jfCakJX2JMk5SXAtDkcIG1pDgzlG8N+0cdZ
wbJnFqqro23VEL6GRe2oZhfGCWSxMOkp2bPqqNzHVgwia26stJa1GfP3h1bG2xpz5IOI8OgHzMaj
9vT+W4ps6kM4SzbADctAdmQQ6HKVUe5kXPwm45kPPY/SitaVfM/gR+rpvpPYfoE2zl+pCaSAzyTh
GHbpOEUdAQDS6dyU/H9/nAsUMEqjuWqMMbdpqXFBvCtensxYobwEVcjOdWPcxHWVfSW6yBWZuNp8
TRlz9DZ0NJFvS6LZSGdGriiDqFK1VF7aSUaXJluayZV3+rvOl4zVs8WVRgqx7A2Yh1jVDMr2/OrU
iX5JSkGMC8ekmmDxTePOCwLiY9N6F8YswTGZIeh8mcQxLaYSd0k0doyTZ7mYaEGLuxoF437gKt4m
xFk3E9YcwD2hc9vHXfuaaHikyDdxW0BLVvfC1WgxNxsubLORDW+GD+CEmqjx7gAKQNEsnaJddrLJ
rJXjFxxs+MiIoylmaaAjfO+15sBrrXGAUgRnB2QGEYfgQ4a0LO/xHPH50gcbcAjzWEH6uhx4wVxe
CWraTH6xeq61zpILk8I4duSNXe0tBTkHP1MULRueGLeFURV32VAywR9S6jU48kbmI75tj/10M36h
u9A6BADad8kgjLfM8aYnEfbK21DbkJxqskNfrFpJqKXOuK9yYC1IhQiIsfbYJFrzFJl2uyrqlABR
5gsKCgwy12ykMjplALRQfF5sdEFRfBHq05d4DFPuAJm1R4EkBjU0Qbkh+BBYz6iCJJYQtmgbQfnf
91OTnnPGoStHSqJfgepMF2ve5FE9Vl8at8m/4NeI7DWE4SFbqLEeDyQExCWT2p2Raya1zUzZ2SWK
oTVOGVb2+nayrWg/6BBUBldtpoGcKdCk6ix7ECGp1gc3xdCwmoxsamOt6u8IIWBkl0D0Or8F5QIj
xDpVQPLNx4CD7JOMsuY+k/ZN5GAQQfkMFzJsjbuA4c994WE/pyulE9faFtgfvawi9RDpH0NTKpoK
xMMUmu6HvoV1XiqnbLaOLKAH8r1lHGsaNd/4coevC99ZZd6g+QFIwZYGv1yP9BNAO3KZAQa7W7TP
kritp6/ReA08GFajOFl1UbXOpE70Owoi+SmoVJ4tOfY5yQYmZZ/vxjrL+qVm2Nl6QIlcCqV3DyaM
qefY9HWkmNjSr31ik0/RtWo/uDRbLKWVfFI83o8y6/tLZ+qf5uDQGZ/PSGBHqgpEYxF0p9adktVA
k9H96Gv2ES3KuE0Nt/s62Kr5NPqUAL2oDobmbYx/ITx2NJQjmaUkrermozlOwS0HFshHbkrhNgIt
GWv0TGiFi8FzmwN2Wu3aNJ27bk0LhWn08i9ZJ9WpprhiHTgjIc+4G56R5INVmEfujV/5Dr0QiHgL
zC55vdDhO108yuPOiIVmsYp6Xbu109JZeXYPcT3PvMVgu+pAEqT4FPcdbKOyegz6Cia93jzRHj+s
yWw6KN76s2GG+4RqlJM2OvZHKYlAcM+NDQet1lhjloqOsDvDq0XNybn3mp3oiTilHnJWpBtwnryy
UjQgRJ3NOxTGkpiZla3CyuxJGY3ahXMnfJ44OuVUdOzw7X2g89NbhJlLLMgsbTLL3RzMI9FhVMSj
W7OiWEK5Pk8KH1BEiJ1qUZCdMTb4CXSqkMnc36LOuzcCWsF92SBWLZoCcD09HShdk9poXjec6YFz
AI+Ej65eEwJpCHEYlqqWxLmcjd/l+T2UowElku3HxuSsjz8oS9p1pYOwImQDv5JYanSTq8baoAiP
D3rTDMextfQPWsMPDm5YnlmBhl2s2rhddbl/O7uCt1XRIwl2pl0drXzCheXkBLzGopVIovS1LCK8
TYfeTvpbnJ3QOAM8eF0iTmUajo96mwW4cfP+KeqjjwAkyPI50CAXoRrCxwHgCkkvBb8D08zBrXK1
UzpMDtuPxMbtaXQgi5ZI5PVch0YjvN5tKDKIHO6EvEuXlXLqDRkuno6oHFRyeHm2raQtngidayBw
VXMfJKW3gbMfJGseh3InkjZe1RlcjoRqGEUs+y4CHdRSHR3RFg3H7Vjao21xiB37o2ps4lPY9Sws
j7460/ccCZxczoBdvHe/CkpR1nHqOtMu8ruM9IBX7/wGmHM2b62qvKVZexjrxUQerVxSf+SuySRX
BMwHWDi96M+SQf8qGLNuOQ71sKKzyDymST5cJgqUrEeeb+m5KzILMzUc4fwm6WJr2aZOeQeSJ3Tv
iOZb09LR/JntQtOuKKT9OTVMPdyQ8iTSO+jsBVPXSK8hD1kQm+pEzrVdAzTzFRAbQX6IbcDZzKqK
lReRCMffAHxissiqYQx7DnujvJsCSRslILhNnfbjyWkd51LTiN5gaa01cLsOWboy647KIDchiljd
GE7XPkQyJ0xYHysxqVWNJ/Gat2X7SjWhvh26ujkYgxNsm1A8sVGTG69tVrgs7dtkoMCcep00TTeJ
ysOM8NZEr3HsT9O4kOCtE4g0BVHA3HSnu97Sq88qzekyY8nLgPvB81tYBSnnggKUUwrmDUYSpJMb
DXvVVYvo9AGWgN71mTzSQ9WPReoBgejtYO6+YHHbBwpxPbK8u9LIPlRWpqIjIpMXnKxCf+nk7Pd1
2MjFgmsBX2Qc8D0nOOXJv0bEBfG16h/inH9qJCGNIrhBha5xz1MWQ6k7AYQPUwSHzbYaEXo3oVnV
Nzz99l3OE1T+zYT65xHl3JFHlMqgf4UoDgUBP06oQ8BOoxmyr0W7sel84iTqxJH5MI1e++Y3xt85
aZwfR+KkbRje4trEluTpeMB/nlNn0TDSU9iWuyJv/BMQOoIyLMwvqdbh6zbL/hU/um1fwkH01r5p
XOgjjCW0KD/DmqEwAW6Ov3brwm6ueTOXy6H1Vgcc6vTpRIzXhrRkAwhrOWDbBsX9TQ91y+dAb3fT
PZ5m2hZqlTa7uO/ZZuLafSmdQXb3reGDTJyw90sS34za7U8T5wn6T/At0jUWENuJrZCzSMqK8YAs
Wj1LVKk3LpniK8Vrxb1FEqdddO9lYbivq2edyhp1Cjkb4RTPeXQvPEMLbiet7duNn3Bw2L53TYz8
weZqlxUtOU1kMLBrDVE+v5+Fc7f+O+fUrHb86T6ZvwMPixlKDeknHXHmpy89ZYccuC2RcmecbQJE
YzgbgDjmuPadTvQfLGHzX/TLC1F2wTaAkYz589UlGk5wNVUyO0IGfMWVYNbVFTXfz3v5UBuD1Ods
OMd9Jp6yz//01QUjMdwvxG0IKP9iGdBGvLujgtqUVOaDK8lHxPU8VZ7b2UkX8apu53EI0GTOse2v
X9z40Uo1f8gC/wk2PiwSlv/Le5eJQ6VO0JS7b3PoQYa9ffbS2nxAo+bYbBsub36gH55Ktff+jabo
Z8hP6GXzhNd4eP+F/pU3/07epACPkMZ/lzc/jPT+FOEP6ua3n/kjxajbNGngbXKxe+Kk8v5UNw2D
PmlIdcICUc6Sxmr3h89zLsxFAxOM9GxMkbPu+V37Bgoduic9gDo7RvOf+Dx/upm5yhysZFzehMNo
lrHmBfc7gyAVbEbskNi49Plb2GY42j9/92n8h5t4TrR8dxP/8gI/ORAbZdFwoHgBkTAXEhT1+S/x
cIl9wFxvf/1S76v/D6+FbwzzGGVnxDJ5Dv7kmBmN1sgcXACs9RAh540Fyshcew2rMK2dT22iQvEa
lYHo9K1ema028bR3xrg46JZeh/kbTnnhhVdutojahm3QhPqWSWD/JWaeH+envrFbjj06g7R91vpJ
0DwIihhp/tHK4GGsuw3+NedAb61xk9RlAuAxCeqig6tPjlNYDbAUc3A12S7kYPmcALK8jtJ7tjDh
QNzTLrDWUBQhACTE7miCru3NQ4MX5XFUWX/MgrqH7sguRm5yBjtWfvQ6J1k5BMAvwkgd+UkrQbmm
Wpgj9HRms2Q1t60r6edqOiYdEIx7iQhkF2trCEl8VEvYfXMLuPdeCf7vqvH/E31GK9W5zf/7qnGO
W048bQyN6/uV4/ef+8MiLn4z9DnibP6Sf/aN33gEz9f6n2vGfO/+vkZY+m+Y2fAnsB3k4cE44Z+s
Ea74ZZ+H7oJ2C8qelcr+xbEXUzbvpLA/yZSW09kLaa3QzBYhe8opIIGdo+860nf4D4wOkYu9OhGL
gbD9iY6C8XEK+roGNdRyD5SpC4nKN0iKLtPAVDdNTHDQI2P8jEmrYT7dJnE/HYPYG/t1QYhpbRnd
dPa9UN/xW0IeHSNbpZeBMcQXLxGIj3UcT5smsnyaETG039Xa6EFFCQjNSbJY7y0bFQlnolZ2cCid
WQZ2Cd2c+DUJggWSgJrl0wskdJ+Ojl6z9mMPGHThRjYGQBTXKuybe0arvXYQcyXnYtQgo78NoRW6
Gwk6zHyCmxrG67xnO5ws0khznllCKMrF2+V30RFoIh73hcxh9t7UuHmiBV2fEso0kAqxKdPRCO8k
7KyNnqV5DaAgzHWxMduho+siYiO+N+z5T4ZG5HsfFTS7YuvW3OshhmboriTB2G0asDFXhhSTBT6G
8xmuPHxkVKwwOihglnIWvQ4eQNVSn7IYX95Yg00Ia/FxQtXS1gVaz1oWtbft3Yl8IhwZ0OHNq5PU
w8VjrWuXqR5au8y1jNsppohBBsHwsaHdR/jZNm9y/Wy0gi4Lf1M1g0iWA2bCY5PLTU2p4g2LnckF
UzGp7cCYL7XRh1bojkynKif9yPkY/1RWRNjF6Ijt4tT5MlPE7kQLKqT2Vb2CXOpvIuSIfUfnwnPi
tHj5oqhcxR715LFfdHS3ZjuGVhnxriS9HRQmKJBKoYeUUhN3lS5AsGKv/PHBo2G6WWi+3352GPjf
5WnkrZRlxQCe3Hyty44FVs/adVvZEDKnOHssB7TXWjOiLQK//+rSosLRK2iSG4YE9Us4GI6xVNWo
o6gLiB88CrRDQfM1eHJUu1v06XEr6Yd/ssyM8tbKfHbxlYQzJeQ1xqX65ApuKpsZ3IbqPI4h6PgL
t1ZUUlvySwBm9WVSqbH2q5Ip+BCF3UsztetkipsdAEd7kVbyONiRc2UYkG2sAevnwg0DdrKUzOyZ
U7mgbD3jWZm9uBheIVHiZLf3kzQDPzX6S5JE7UPbl6ha0imJVefWURJyvoAXnVtnKgfMYITJfaiS
jxzXk2e+0WyrVG8dewTMHUOq6oLnFu0i7Ghd4jnqHeLGmm5qpxtOeTc3hePvJM9dwcAZk45jtYbk
sMHUF59xN1q3zPNcmn+4JXaZIpW4qEQcHwo3tK4oHO1paKz4g4KnPiwsEnb0CQ3xuYvS+oE4mJxB
uBUG7rBYAzzwn5FfkqdmcLsjABVfWysqaQ9gbyZzY+RRfkOBQrCvJiW33QQlXE98AdV9cL46Q1Nv
8eqOH1QC5Dr0Z19aBQAdIDBnk2IV9JE+uz8Vun+4N/3qODo68BHfWtC33b/1QAfIXBbZbs5zg1ev
ypVB9/O2iQtvY0a6Wk0KSEAVYJLRwX1vMtw0S7ew5W1SOvUlSsW4o0bEug1GOX7saft8pYhvuOUD
Ca6qrPoPkzdCGrdlvuI+6VaMeZOdzGxYPHZCsp265fSRFGa25WvnbtFkvfG9tHqzNLfbTiJX8PoD
nTG2CxmlzpvuxjOGwlwO+QjWzSSJLFrH/DqZka8tMGb0XMpjueLw8lBBjzxHQX5TMWm5mKUZfqTA
KttOpOU3yhox32L20c8uvIWz36X+RStz83ZUA80KRjv6J9AFAGozYrd1X+H84kY9wHxEN7Ox2y8D
2al9nBrhoSqpLg4F9DM+jOLcQy1lbs9SU2TFUaN8DeCrbdy7I0OGJZ0SwbKt3fE1SqRqeNPz9LJv
k2TXjsTsYU6tFSPvA88Sfx3UpfkpYfbJrs6Bfm7H8QPQ2vYuhJd7gZZGm1NfT4z3KY95bIvevyhG
K+eBBtWXquxJaHLyv8tijGwL7h4P1IQc32aoFK6usHZ2ReHIA7uyYYtuPFyGrrEOZmYWGxHX9ZME
KItXbAyoHmOMaMUquuXJxmDS70ukpML7OsYzd8vtKMPGn/8mYeOvKV7xCTtWG1mKHjG+ReM29G6p
lfyeS5/MAsVmFBct0EyHlyoXRrYcTElJtztpyQHuef0U9EW3ho5R7oWTx2ipLiVYhW3UG3zN9QcR
omasbYrNPlthKLYF3plzbwTiOOCiX2RgdPYRPkm/T01cxSbPN7qNuuzScay+JiJvzyk20nUPY/dQ
l1p3DjrMxImd0rBF0Bq4SdF/IOtCE3DlDziJbHolFq0l+9sqbMVpQln7ooNU6DGvxjyufT7jYyY7
DaKK4z7XccnSA0bQhvuqJcW8aEMHm6YgWHe6KK9eWliXWA8g0haEXFNsVLh6A0dsva58vyYk4qeJ
AWuZGwQ5Kd8TL6k+VRs9tl6YJJZnLSycexGG7cLQlXWSnY+ZKBzNm7GedMSd4jx/gYc6s4zt1FF3
DklyBaDIPPfo1uBQmB42MOtvytC0Hj3RDWtEnWxT16Wz1aBiQqdzrTVAOHOVpUjlWmlV+xE78K3n
hDY4ywY/E/DCCdjX4N8zqq82BTbajR41xoMTIDMvc0oSbtKgBrRgDsq/zcLC28qIh6zUrZMIGsnX
ntv6udaNczcPQOipE2sD6fhL1McMLLRR+rugq8Fla1SvtVmLgzUY2xvQz9VNOlZ4IyPMHMpyCroM
yWxJSQ/ZNjAa7wN7AfNBWX4CmtuxvK8i1/rnvBTOBjjjR6fOvLWWMAAwqQvn/ekzrkmKdmey5AFY
75IIW39Dj2xh0rzMqbhhdoIp7jWuGqY6bRzIg9kDYSt5vI1gwLg0aVLJk9S5CdibYtHmYd0T3oGQ
KRovWVn1xP5DsQhfrLCvmQs2T4Xe5NdBDjYlXZNug+IZC3ATfUrXNOAJDcTfDv8phd+GB8WADsRn
NmguuNgEAG09Bjs4r8EyjFKs5J7RGOneyUJjyZWd3UiYq8xpbZXgpGaovcaUMFLRlco7t5mdlpMl
964+FtcuhdhAwtttuDh8742Nb7QG4mxuU51lRdBzG9IC6cz+XFOX94OehY86nWOPRCPExg5bKJWc
2+srtTQ+ES2X3UroBHvdq3oC6DpptEVa8gRbiBkT0A/NtFKhlRw4AjIgiQcDi2wc+jSi1TThfLHy
xGuZX6TdaIhqYdXiFAwAIZl0NlTER/Wti3p9hksyXvy6MVZ+GjNBBQ1ziAo5AVLrwo+TK46J7T6E
bixXvRlfMH4avEv7kEN9+0TunVZeBPhlHbg+W7Lc/YgzwtyPGm2Wg4ysFd4hBkzW9MKw+3Psabei
AqLsR4M7J7ijRVvH+rLsCrkF3k5pO55DxRHhGGdGzpiU8kjftDb9KOyl39I8b2EloQstvtJ5bJ1p
yXg2WhtvyNCB/EppOEtTAXwhz/hgclywWT6ScrMswMGeXVDthyOSdrBNxFDsgCnkGo22+WQ11F8w
Vy3zpe4WzWbmNNK0pzDpAEWd3eDglWGfeUJJ3I4Js3CG19sEyzHjFoHx2/Guyo0YNrk0ERZcfi+0
R69Nzwke8q51dxVu4INjtvo5opN+hfPVXjIV5zHXRvE+rjyxGdtuWlY4wJcjY81FBSv7QqyJJztp
nKuj8+YSka3jibQKnvSmW7oVOKjvTq3/Qd35RaKFfuUgt8zqFYHPn2PCUWDDK+xFvE8YSrGFU+Af
mkmwSjv4vO5tvahfK/ZSBY9sKq//+sVnbeo7ued39JYJiATVx6Xc6kftaoLBCRm7iveGKpvXKWmK
E9j36CpSP73765f6SSabX4q5A/+bT78C/fvHl0L4TVxYA7xUZdbFmntkzJhqheWXv36d2er483uy
kPzmCCmhVXLmP74QeZvRblIv3PdVMG4iwVjF7SkqzOhdusFul/onCgl0yPt2/lIRE8CdMIXRVQui
+XAdRPx2f/0r/foVe2CCbMMDOMWZdpYvv1cIe72DeMUpY18rsB563oxbK5GcoAlCkIDE/NC8qn7g
ewY/c3h/7X9V579RnZmooV3+d/noDyjB/5Rf/weFss8//+iv/fbzf9hr3Zl656IwcwHP7lruo9/t
tZ73G4I0xWtzwtA37BlC8Ie9FlYeXitO7Vz4M4WA//SHuiRAF0CP4j+6DkvbP7PX/nrJ67ozj/WY
6s2u3fmdf3+BjUaRGhwu9R1lZMs8/JqF2lWNwT4RYgVdbAco+UDuaw1O4yO46EVitX+zkPxEVJun
LSj0rguhg/dswoX58VcoHdethOCkWTac23txHxs+TsG+rfBi6XKVaDoV71lwrqow2Xom6qk0n23q
haeITlctPEO7WcSl2HQ8QyvPuNSRS9jBoZetYrczkErRq1finPwhoo1FRKncp4Q64PkfRxsffzw+
tlO5jXNiPdp6dPydXXYzXDd1TwR0ipGMUFf2sE+xkK70tKd4qngaRbpouBp2yhWLHA+/bVrHsJdA
75LplrAFTzNASrHA4+8k9Hd2FlpGesLUdjtBK1sP5ZcWALfmd7eu/2xY2roNvZep5XfIEcDYlS6B
KMDp9fEuRNgzstWgclbz9E5pwUMC4Xidtvl66KpPpOv0bZz1NxDegc8Wn6ewX3ZJuqwp69iCmBcL
2XGGsYriNVe2vk0hpHKSlK+FHa5CYgQnLCBQ5nXqRlwg4OW0iVPrGuZJ+C0Q/O/C8jcLi6nb4i/H
WecXNmAvBZOXP936v//QH8sJoymbNDpUBZrKrO/BJR6WfHKLTJPYGH9baP5YTXyK5jn3C9/G6G/x
yP5zNfGgnXiAkFhLbA8+hvWPtGru1B/2BDoZS0ZjOkseyvfPrI1C75Mmj1IoR6EBUSsY7OIUKlxD
uaGGZRjCoP1u4f0PO6BfdgbM4Kz3FDu/OZW5Py0dXeaDu5/ccadU0tzqGuXD1Br9nfGBLMPPb2uu
x7TQ/HFasOX5cYHqnFYfaiI0u7EDYSFNVd+yux+WbKnxH2oS2aQlYG3XiXbXSrz+f/0mHf/XeTT5
LBpC2eoxUtD9n3cBbKnjYfS6XZm52CiUJI2eeej+oPrECah2c1AJUWXYWR4u3orKQdxPVUyZeIt2
fc85kBMNk7fxTK3VbHPGn4g7W6YbLJb8WaJ7iD1WpmGVVlWCWuoE7UjvpRjHr9SRp3dWIlKkMrCJ
EQvrkqhxfchxoX0MYrxBFDiwJ6lCY8wXZW0xb8AMRHV3zSicx2J1aWjjezDVoG46q6eu3G2rFxwF
nCfachi/RhiBNkORDU9ZT5U0o8K5nhpHTRPEuPbkPMyIAr38FAGvfzZCnR+UKIuntp57pF03uPMH
L+9WSEJ6ueejmm0fBps8LCBQHrYzepEiCW/ugEc4fxhLejU9VUZXp57mQQkG7kUWIqJUXtzcltnA
cj54slvSaoEg4kYkmlFHdwEc8RXkquaQ9mZ92+YdlLbeU+zyaYJ4Lz43rG54SvR8eKqTyb3n2zEJ
juvmujA5MfWuql/HEoRniMy3jGUxPkZdUD4DZ+abqatC37mSfnFPsqOzOrAsLsDQHd3x41fZV1jw
Gn6E3pz2g1viUw8UsbU67IyHPpvaDxR90opdlv4pzxlkzkIItHE7p/Z94dIaTuYT12xb0XEpi8Fc
l7WZ3lVuBBbdCGe9kd28TWMzzz4Db2iYAI3bIQoxDLX7+lW13M5C6yjnjvtsXwq+3NEjzK76hGw6
/vcGEchtsz1BarHoeM6tIK7Rb2cE6R3O33Tjiqi+YG4hUAIY/AsJbKDyAMA2eQZ/IBiM8lOs6uEp
wFh99uuBv2oeH1VA+ReG4h37UqsuQTrf7FrtXLVQB1Dv815cO4F170f5Eo8Zl+L7lMqg8GA7xjTd
hDbfBL3kNDYV1bjKNXLUqwyb2FcADNWLlxEqUjJIklXHkKpYlVEQ3Ln4WF8dX5/OBSr8o4nfZIvF
HMmiqdONlhbdm54QVIltjt1RmFEBqfHZtiHfY9LPH/V8iQKwH75AS0g3U4ppiywM34TtluPWNrj+
G2iSz/R3BwdQqs8Sj9EhitFKQvFV7319oHcrp2IXUoa5j1rnk26O9UdgKT0tXFybbCHA6phguFe2
nX0izjl86WyMuFikuCgVZD8V8UW5VFtAiLSrawXagrox6Vz7MTAeihjffu+45Sets7laPWaMjRmU
n6zcGY8J4fR7JUakCYQYCGmFLF9C4bXFMkZjJsHC4O79zYm5DgUvoHanxqroqImAeivF2H6oWi29
GwnhCKpk+XyMjqp7lSX50pV6vOtKTOpLRZHp1lExzOYMrBBXbcrAfYxE/REksH9i2I/D3zWt+tKB
bxLmB06bDNqeqYel/DNuevs5NsgLhLvBmgqqILoJYDpODtmfx1oGzgELcW/fWSlthTVJlkfOkt2y
dPuoWBhkRFaMhoA9zptmtB8TnaRUUDWHvrhQ1AjggCvsYGvpTae32m2pZ3ea01/svMo3IvKcW/oJ
WDs9ZV0aJ7wPnACPW82O0eMmCs0p2udm+ogSAsE+C/p1byO0iJz48tC/kSXI91oRvo4YIPbRRAFA
YfTVqQRPu84ckOxtABTEiOkUDuP2SNg82GSyMQ6kUv2VMTbeMkOxxN4c/j/uzqy3bWTL41+lMe8y
uC8D3AuMJduSl3acpLP4RVBshaS478unn1+RctpSHKdzGWCI4Vu3nbJYqjp1zqn/4v2pdVp7M7OT
qp1n3frS2FmYPSbpwgvSCFEP5EFWQKCChTJrtHkqOfpp6PlVfBoGwVcn6QrSVZ0WZonvzNzWordt
ZHqw7Gf21c51kpvc2NXnhsuGTXehfOW16+astC1nBfoQmLVcSSspmmEPhJnyPClU6yyuZzhLqYBQ
KkytLlC7TubKDLfUWvfsZenI77D4sc/B5OTXcmSrwRk+ecVDntS1MddTe9bBbOA7BJyNuxMGp+a5
Idf3EUCt6zJXgnmkSOXKqW2EgRDv8TnCjHTRrnOULuvywqGVi3NG6lnnlcsx5ypNAWbXSN8iWCPT
3vXzc6cqXVD+PqQL22ruLb3iDgwf3CtI7fTyAt//jGNEjPNAY7SIMVfYe5kULws0yNCsrDSVDFFN
78jOaBOKRuwqIb5Ki5YggqupD+rlNGFf3WhBDtq/W3dnsSIpKwU6/0J1XXZVjn+vnyLEwApsC1m/
TIys+auDIsCleoiZQh5xu7TA/xDL1szoNkkg6SulDbv3CRrBSG7kNkLJur0KMbh5QwqP7R0QgEs/
TNCOVAK4/wZeQ0GNKVauqdqdiVcXyUEr05XL6pBayTpPZziQzZBYP60hui3ALu0+mYYDqkVq63Nt
3VZAiarZeepCPCqd8C5ACXuee1K98jy1UU+RUlw4Mwd6j+XIF4HHijdUbJqsqqGYrNfaTWzHGihm
2CWhoJnIaddeok8N90TreSipoKRocFMwZDSv7Z6vovXclUDQWFD38AVDQl6hKgzLxXON7CoQ1Jey
Z8HAnoYRowhyDNQdeDIg6aVtEoZwzDUzMhquGaVq1aUoGCfhLLsARKmDCi09b4Ej0u5awyvrIVR3
hrhT514IjUhQwPpnruHQjnZ9FC+4gcxxKG+gDQoA+Zd4J3NtHtQiL0jSuwapl4WRArw+s6rQu5pB
I/BP1625M1l+ocuVcpVd22kOzwBmHyyMOta9ZRNZ63y+82L9tlXW3hLKZ/JFSawZIq1J64vvBkFJ
kSLtdirnUCB3Sy7io2tboR+JckLxyN1kDZegxnQV6pFAfiRE4a9REGDa0s7WbxPfFHvAJ00w11IC
m0MXetyuF85TN9HRM/Bmb2dxkny2K0/FLNb3fGvhSIjmhyR57oIbDMDZSdklZ64gEMkdp3NbkhUO
yVfqcT25gzj/CCtrZy0U3eX9MPwAQtK0rXJGGmq8a/yUtEwkjNGZUgFF4YYDPy3TiK6DrOuWmpQj
XBTXBONsB7YlpAG4Xrh6zuFuh/HsbeTY5QcPsgp1KplGpBvJn07Xfwo7/cQNK2kpjXoRlLuw/QqN
gXrcNklPgLjLbwiD0SN03bhazBwD1V7SxEsuuWEwQgDjUBNwAaHh/wEPD747OZ3RTe3bcOCT2yt0
2nh/oPYLx+Esj0m2PifYp8/zVqS/eN5/NgvMIpWcV1AdiJ5c97ZfrTbxLppujbPuzrNPZa9GrRaT
W+irMaD0lY9Rwd3rRcQLmFbZkA1TEVxqSyUCHRYxqDD4sePMiiXa8unl2iYYkg6jV5pCLLwLREbT
cfGwQCIjuc/brG//MNllof+soDkWBKOEGT4JoEuZj3PcOy5juNBIhxdLzSPz5zq01G9No1DOHBhr
l61GQujazCxuWs0b04nDs12uq8uuiO+57mNhRmp6masVmhF1kn4qS027rTyl+asm4z7/ycQd88/F
hxWybKoBG9EAknw4cciH+mY1UxG1gLp1WuWR8a4FLjCXkDi5nSE0s+AoYoHJFSveL3JrIXFOXfpR
g813Qt5saiRBr3+ovuQ8rLRRbEKJVHwo8wXsf5myRlBKW4YhuhFzVDbXi9wq0+uuxtYxQ4Z3QWju
zloVoiusWjKoXULxiq4y21Sr/Le7Wksve6ELnO/iR3r35p0FFObMLtIOPxh0i/G60mc/6fbpLyxE
k0YozQvw1aphSkc1uw7AKwmwqlo2KWdaa3oJGi2h3Z7HbUN0wtNgYcPQ+FopLdwlC9ntmaxsrF3y
sYaCeubBPTqb6bWzKJMwvqkyRftcoZh843WqfyVJoXoPlsdtbvAji6qrzHWt1RqqzELivv7cAxt0
QUcLIS7b028lGT5f1oTkq8IzhASyO4/ATVxpLtl8lpY15qtEGEUrZ28rJzPe4X3dfg3pVuqok2va
7BRTZkoazSDvrWNhC0sAc1GNppCGWAAR2eeXOk2skMwJicR9rk43P72DeSJiii3Sdp+E3g71HE0R
j6sbZMLPkHAGx0OD+HoH+uG8kmk5INNTfXC6GS1NW1eC+0zlpueyQFakuk7XOK1+rD0udFECKvDN
cHxXmpeYwGLmpqq7EvamjiJbri14oUj5gPcmlLYUpYOVSYfQWfmkNAsM5PgfaxJ6vFpz7knmaw/J
UYTqyLivIImgrRkIrppWk9NnkgswBIMB3tiJbEiTBGFomg2pvCmsMGctST7ltLSk+ibEWlr+EXU7
A1SurM9zRI8y7uUS3DEyCjfL1ZIv7a70zzOv8C4AObGf/JoV2RUUFC5+Fh8w9L43kXGYd42MOmUd
qOg0INlPUcnc2X5teZddx+Rz6MzeZjuU88TN0Z2vVijAATKL5pZeBKCIrHgDmz3eaK1MbggiBGvH
hu9T5eL1DZWodd2mNJ/LmqLfCCLcDEJqmaaRVXQOiEaFqO0i1w7AUxdVPde6AEQU+ODyXO4cMGM5
DjE7lN6BgHnmXahm5QdJLpUzEMnxRs+RQ4Rp014lMtXzIos6ToAC7aCPyo6GEpabyZ+F6aG8staI
JsUa7Vg876mM1pqGdHqsd+yRXCojVGhkfoitRIo2MpoEVgheJqc6PNU9rVsCgUsv0ySlK6fUHDmN
LY5QNyRc6i0Xk0GopJ/qFma0XNNmyfEFvnbkBNW11oyuDYeJyzhALyDq6vPYiqoPFlYpp1i9eRdg
aEiGLcrNEBurpelRJluos32FlIzlhGd1yWffCN9UjZl8KcqCclvSnVs50vLTsHYN+LMMGiHcd9d/
6gbkkXxqeTELI0b+7bqF4rySxVZtRHzH7bBeJDRL7vW0Kc+bDAoeHodYmQAhojMiilevkSjgceJN
77C25ZsBCiQkYTmL8Z6EMkOvp73yoQDQ5M9q+jqqwVSJpgQqOu1V5xjtTVPRXeuXodLQgmF5p9Ky
6c0yHDoeat6md33HJ1JZPmGNFpUBPhQMF1VwAEhyGWgkVIGFGkS5RkCjbw/MHBx9Ck1AyWk4MvWi
kYdweXvuJzSEQFN+zayuvenYbtG8aR2SEbQTgrkFhBe3lsZ/mybiMoME2KZOISUrY+ASaQkb3kXH
HskGNO9XTccbYZOEkAUCPWT9NsIYkIdc2n++pKMNP4vP7B1LMKJxV59FITvGaUL9VoH9+I6ER8JT
wqjyj8UOpRRimJ9+wluSRple1OmDs6PjkktF+1c0Y5uvlSxYzURzRdU1whoV/fqy79SgQyEBYQPt
idadUL8PFZo9aUeIU2X+fN+/6Q/JBsYdzRVURJCS2EqAZEmXTXTooVmSLKW5hAlzvzQ9WpeJRmso
EsBRSQ64fY5BCKaI3FxbRZ5+ijG7XMq5Q0+tFLlyjfgRQAQqrbkjIYiQgaF+jAM7vkfZHfcV5GWv
a5M4G9cuU+jqafYgRXgu1D7aX1zbhLRyEA1bwsi0r8V6TjMRhvN1nF/BoKYjaXsmOa+f8c85RNsr
j4vd967oepOXiFOAAu1etlgSWlfmj2W6jjfQsZ1btMpoG2Vi/fgaBQCR6DQweJ216H716a2FPN+5
40f+27Cu6CJpHJMGir7v+7MBIzrY24jfgLdiNe1EE7Wa6dqt6cx0jooaEd3UJg0BG668R6oAK4lQ
o38WkwmjrYJRu7EDTmio+alX8kVyXRms2kCKrju1jK51hY2DbEh85pIefs4R+k/OM2wEF2GNp7yi
OdWHtiZNxiHQupbiQHk/CyOCLXHsUwzr9bNrBOtL+hfGvG8JVgVNS0tJ1pdO5HLF15B+5kSTZE6Z
459Du2OFxE23LAuKnV4XpQAYvExBByHCKFXxfaDMaFDX9IxVZAyWWkHirBqoVyo0lwU4j8XTh9nG
ZDboHLVXWaw5H6nqgZmAlRP1BJ7Jl02GlmVG0+YvuL7dctbVtCyqvGIyAU/iC8g+8m2VU8uoEmo8
lbU2QyaxqemXKUEDMCHS9BQAVUATUYRKbPNwZfVVH08SBVkQXKfpegGuUQFRU3bRMmFPZnSnI1TJ
bnrlFjU1yy0s/+ai4KOfIgLBxvWEr0+CTOoXhNtIOdK8C1Z4G1DEoM92q5jRfVXpzFpnAptXLJet
UoFuogMC4COq6vQTWclOOy250+VQlmKbvKXUvT/rmUSQrVPSiTjGi9xuQedVJV84t5rdja/QUu//
s9+YbYjc3OlMLsGi15ypCYfKKuqK5k2jANwK3R1CQACwzlSPrNIxhe4OHGDnVktMRNdAq3U3idFR
kdVme97k/tcSXU3jzM0pYPtGsZkn95pCZVqLLKBtkOfAXrQrL2gk8Mb1ygx29bK0tM9d5qD5KG5i
cPlIzkrd5I/5cWldFmt0M/pE+//NVeX+RRabYnPWc2Puym3Wvt3mSPHlTw4E4qdvYi8q3lNQFl7R
/uovvT7Q/rLyZ5efCLpQcx7AKvoP1X+Y18YINnzm8hFPCFU70RQqRhlWXv9QqwVxhJpT/2OOGQPS
DpxoLnaef8+vTcDr7zbM5Ou/89pn//seFwry8Jkemv92tvG3j/Rrrw8lFmKsDNVGPJROz1/fxoQC
PriuI0vfP2BNmO9na+RHq+D1F/x9k6CA7+A7G7cI9BNo79S8UAz7h2k9mAXzRB/YmWip9c/UZgGP
Bmv0LEgnWC5y164f7QHIaRYYGu77hbkGD3fm01oEqBYIT6hRi0AzTzSuH3XT2n/J4CqeLwIAfCc6
t/XwuJkknunFAzogIydBVU5AhmkKFOX+HcWAzydBuNygcwjgA7RY/0xtKUAAFsTJUUsBKUpuaKBP
A9vrn6N4IMvGiaH3uJipLgUsJsZOgnZCZGXTy6AGxXO8HyC7s1RoYGKtIZ7p7Qe8AcduCE07QTRC
ojEK+VY8RwekLGssBVvIlwypyJSOxhdYy7+cHxEQQC6bNKr3z1FAsHl9dBA0MEz9Qy97WmcDy/c7
iNyvzgJeXBIMFdEXH97yKCzaKgkCSDXo3ROdBRXaOUt3VFhkL8C2lvHn/sEJKUlYdUuEzb2C8JT2
AkC70RmCeoJwB2x6sNXDc7gXhgzBIomYXCjkE38ne/IfbALe2oCx/HKtIEukyTqyUWyFp+mZViig
VvgOh//LsyCRJnL2IyH9YiiwCJiA6XULialpzoIsS6PLZsU6wWkVkRkVZOtBgkjBaJkqGk/71Gk4
gCcUCUQkPCZj/OoiUIkEQKXpHAz533dpskTFpNEykPeLYHqnIsf1UMaNaB4oiJZYoMAhFPXPUYaI
2DsaRNjGAt/un8mtBQXthtEdJOuEO2f6I/uyUAjFPN8RooXSa83j2tg/k1sLwrWNbTwuN8DIVFV1
RJFfzpCQ82exMNso5U0uQxRF/cj3Vzn7AMLge3BUIFiYIcCyQ6RwnzRM7vVVjTN97OtTMSuCNiHt
c4OjUEAgxPiBFpIgl02sQDB7N9xRq18V5DrMxymDhkh33DCQ6DBqgKSMyYVAIFzK2MSY14cxzCnA
Ou+fo9e3CZGWBN1U/Xt1TCszRJDSGn0Q2Cc2x70pmErDc3gQ0DujmYJzsL1vM08uEtDsMUYfBLII
hAKDt79QOT4O7ROazCJjmOqNgko7Y2ypzI6gi0ovWf5BaiSdwE5FCRRVyP6ZXFxQJGQER54KtE2Q
SiABNF/uo5ocCtAeVJwKp3YogM0UMMNxpwJBX6U1aIsc83lKCK8S0WNaCXAu+2dyZ6KK3uHYeEi7
CHATms7H90kmdQMpB0q80LPFM7lLRZUicXT/XD7RDBikFIHDl3x8KJIycZHCmbkPEUPMmVCljO27
MjoEiEoYSC7evMMsMODBVoAtrEIjJnMY1sLkZgEBA6GwMDYSWNxTAyLYH3pHAYHUQNVU7NKert2G
vTeltaAiLDFyFjRUTDnxbGROh7VwNAsmVylcNCjSU+dscgkSaeLo1EDMArdJeN39veKf7wiLw0Eo
ewh7vOGZ2tmILtDoo9E+AWhgEl/+fsnnk4CFIJW0IcwBhjmY3BFB60/wNkaFBU5Ii+TIJk38Fvye
zwK9AzInYeA32Taiyu3fyFmQ6QwBsUJugZGevz5tdlFLiJp6aCoNq25CUZGLsLGVgka9BGcJEY19
VXiUJpAsmSpN1l7mZ1pFMzmyMoTo/7yHLFA3pEm0yve54NF9AicFkUDgEJ4OhalFQ7z4xt8sKtws
ou0tgDX9c5wl6ScUpRJXmHssxuQKBqzTtbE9VE0nCxKQkqdD4aiJaNgnCnONjsN+FiaXHwjA0Mho
KFqJ6PGwH3i759EQbS9ogwoKTfsjcXJvjyXGd9bBv3qzRjg0FEuB3b5PfoivB7NAuES/TBLAo/4Z
CpQJnQkCAzJyDRgaKSCXJbzii4ky0monCkcPucHkXn9vBT0qLxKXKTTOYHO+fJlk0l2jYkRmZx8u
J5gdouo0chVooiiEFYOXzLAKjjIDm1Ui1gBn49TORGEvMfLtWQPUwwYqhvs9cPT2pN+kjZDPuc4f
IsHUJgEBQuEsPmonUCEYJEaIGT5dKhyGQ4pFLh1BYtj/x3CLh7iMCkETcbw4OhCbE5Jt/2QOjkZ4
RtGwAdeByyb9OXx5myISDxPu3fdnwfS6yC/I8/3qiSgSAnG1rB9lxqYB0IgoCQxloichYCsBGv4n
X/7mEdOtJxVUvuVv/BxNPUGPADHgp/LoODMW5RN9BNpK345K/uA/ygf+wS99IzzNXS947KlO3jZ/
iez0o1944sF8//M9yWf1+K//wqvrm0hi/4uC+TT87YHuI/773weT1L/isx8+vfLzf75/we//9Isf
6ul/Lr1ttskeXCyfBbNr/zH/3ITQpf4n2HzZhJvnG5wKje/k70/yr/86+JzPvv+fDJz7R+OKPGr0
uJnXxdHhwD02fvzA/ibKN/nTRxRf40DIGjvyfBN4X+MsOpQAHo7U0WPjC59tHuPnn3rAP4wfOYq2
D4X3UBYHg/cdkrGDL7bBpt5k2+cjD13I0SN7eZF5D8VPlJf7nfAiHfFbdHttdZ8z697j4SocUJhj
P//FNs6cw5UCDFlA+8aOvGTGPe9pnH55D82+sQOvHjfuwQKUB57G6HGDwIti73BHDg370UNHj97m
KIoMiJHRI8f14bIY2Apjh736PjYNOJ/RAzNA+eC3B+tiwM+NHfo6Lr38u2keiI1jx77ZeNFB9Nj3
q8aP+2N55ZEx42aT55sHt8y3RXGwpvfIjNEf3XtwPWdzmKwPlxrjh+YsyOPiYGUrFGoUquPHftVp
ceykY+IYl9lB2NuDhEd/8DgqjmLIHng7duQ/t1+yzVH2tIdyjR+62hyeW3t+5fiB6z+WmzDJEZ09
2Jj7ouF3jH+5zfLtQaSiVy9usX/H4Dfbxns4OMYYXPAqfsfgn+PMfxqprw+GO4bRQ8dZ4f4x32Qx
J+Xh5hzgTr/nDyw2/vHeH26Kxg5/i7nVwbQMfJ7Rw/oBGclhVbOXFRg9dLZ1jvshPRFt7MBvtlGU
t5i8HZUJe8zO2OHfuvHj9o9V/p11wNDiHzv8u7j8wULcs3N+zx/4fiHuaZBjh3/P7G/zfHsQufZA
ofFjN4dV5R6MNnbcv4qN+3zz7GH/Y4f9sM1CTraDkQfw4OiRPSqbo+W9v10YO/THDedO5BSHW3Ov
IjF68G1e/PHhpQ8/AItHj+/lCO7l3kHmtm82jx67jWnEOQff5kAdfX3klzpN37pw3/efnuRfXvpn
h8018RsPwXaT/ft/AQAA//8=</cx:binary>
              </cx:geoCache>
            </cx:geography>
          </cx:layoutPr>
        </cx:series>
      </cx:plotAreaRegion>
    </cx:plotArea>
    <cx:legend pos="r" align="ctr" overlay="0"/>
  </cx:chart>
</cx: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ttps://drive.google.com/file/d/1x6xfCs6_z-I_gZjArKc7dV3pNGKk9pXa/view?usp=sharing"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microsoft.com/office/2014/relationships/chartEx" Target="../charts/chartEx2.xml"/><Relationship Id="rId1" Type="http://schemas.microsoft.com/office/2014/relationships/chartEx" Target="../charts/chartEx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xdr:col>
      <xdr:colOff>291601</xdr:colOff>
      <xdr:row>0</xdr:row>
      <xdr:rowOff>239178</xdr:rowOff>
    </xdr:from>
    <xdr:ext cx="7338419" cy="1125501"/>
    <xdr:sp macro="" textlink="">
      <xdr:nvSpPr>
        <xdr:cNvPr id="2" name="Rectangle 1">
          <a:extLst>
            <a:ext uri="{FF2B5EF4-FFF2-40B4-BE49-F238E27FC236}">
              <a16:creationId xmlns:a16="http://schemas.microsoft.com/office/drawing/2014/main" id="{00000000-0008-0000-0000-000002000000}"/>
            </a:ext>
          </a:extLst>
        </xdr:cNvPr>
        <xdr:cNvSpPr/>
      </xdr:nvSpPr>
      <xdr:spPr>
        <a:xfrm>
          <a:off x="1129801" y="239178"/>
          <a:ext cx="7338419" cy="1125501"/>
        </a:xfrm>
        <a:prstGeom prst="rect">
          <a:avLst/>
        </a:prstGeom>
        <a:noFill/>
      </xdr:spPr>
      <xdr:txBody>
        <a:bodyPr wrap="none" lIns="91440" tIns="45720" rIns="91440" bIns="45720">
          <a:spAutoFit/>
        </a:bodyPr>
        <a:lstStyle/>
        <a:p>
          <a:pPr algn="ctr"/>
          <a:r>
            <a:rPr lang="en-US" sz="66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Group</a:t>
          </a:r>
          <a:r>
            <a:rPr lang="en-US" sz="66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16 Dashboard</a:t>
          </a:r>
          <a:endParaRPr lang="en-US" sz="1400" b="1" i="0" u="none" strike="noStrike" cap="none" spc="0" baseline="0">
            <a:ln>
              <a:noFill/>
            </a:ln>
            <a:solidFill>
              <a:sysClr val="windowText" lastClr="000000"/>
            </a:solidFill>
            <a:effectLst/>
            <a:latin typeface="+mn-lt"/>
            <a:ea typeface="+mn-ea"/>
            <a:cs typeface="+mn-cs"/>
          </a:endParaRPr>
        </a:p>
      </xdr:txBody>
    </xdr:sp>
    <xdr:clientData/>
  </xdr:oneCellAnchor>
  <xdr:oneCellAnchor>
    <xdr:from>
      <xdr:col>1</xdr:col>
      <xdr:colOff>452628</xdr:colOff>
      <xdr:row>5</xdr:row>
      <xdr:rowOff>90018</xdr:rowOff>
    </xdr:from>
    <xdr:ext cx="2206246" cy="530594"/>
    <xdr:sp macro="" textlink="">
      <xdr:nvSpPr>
        <xdr:cNvPr id="3" name="Rectangle 2">
          <a:extLst>
            <a:ext uri="{FF2B5EF4-FFF2-40B4-BE49-F238E27FC236}">
              <a16:creationId xmlns:a16="http://schemas.microsoft.com/office/drawing/2014/main" id="{00000000-0008-0000-0000-000003000000}"/>
            </a:ext>
          </a:extLst>
        </xdr:cNvPr>
        <xdr:cNvSpPr/>
      </xdr:nvSpPr>
      <xdr:spPr>
        <a:xfrm>
          <a:off x="1290828" y="1321918"/>
          <a:ext cx="2206246" cy="530594"/>
        </a:xfrm>
        <a:prstGeom prst="rect">
          <a:avLst/>
        </a:prstGeom>
        <a:noFill/>
      </xdr:spPr>
      <xdr:txBody>
        <a:bodyPr wrap="none" lIns="91440" tIns="45720" rIns="91440" bIns="45720">
          <a:spAutoFit/>
        </a:bodyPr>
        <a:lstStyle/>
        <a:p>
          <a:pPr algn="ctr"/>
          <a:r>
            <a:rPr lang="en-US" sz="2800" b="0" cap="none" spc="0">
              <a:ln w="0"/>
              <a:solidFill>
                <a:schemeClr val="tx1"/>
              </a:solidFill>
              <a:effectLst>
                <a:outerShdw blurRad="38100" dist="19050" dir="2700000" algn="tl" rotWithShape="0">
                  <a:schemeClr val="dk1">
                    <a:alpha val="40000"/>
                  </a:schemeClr>
                </a:outerShdw>
              </a:effectLst>
            </a:rPr>
            <a:t>by Khoa Pham</a:t>
          </a:r>
        </a:p>
      </xdr:txBody>
    </xdr:sp>
    <xdr:clientData/>
  </xdr:oneCellAnchor>
  <xdr:twoCellAnchor editAs="oneCell">
    <xdr:from>
      <xdr:col>2</xdr:col>
      <xdr:colOff>1587500</xdr:colOff>
      <xdr:row>7</xdr:row>
      <xdr:rowOff>228600</xdr:rowOff>
    </xdr:from>
    <xdr:to>
      <xdr:col>2</xdr:col>
      <xdr:colOff>3467100</xdr:colOff>
      <xdr:row>12</xdr:row>
      <xdr:rowOff>190500</xdr:rowOff>
    </xdr:to>
    <xdr:pic>
      <xdr:nvPicPr>
        <xdr:cNvPr id="5" name="Graphic 4" descr="Presentation with media with solid fill">
          <a:hlinkClick xmlns:r="http://schemas.openxmlformats.org/officeDocument/2006/relationships" r:id="rId1"/>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406900" y="1866900"/>
          <a:ext cx="1879600" cy="1282700"/>
        </a:xfrm>
        <a:prstGeom prst="rect">
          <a:avLst/>
        </a:prstGeom>
      </xdr:spPr>
    </xdr:pic>
    <xdr:clientData/>
  </xdr:twoCellAnchor>
  <xdr:twoCellAnchor>
    <xdr:from>
      <xdr:col>2</xdr:col>
      <xdr:colOff>3708400</xdr:colOff>
      <xdr:row>6</xdr:row>
      <xdr:rowOff>0</xdr:rowOff>
    </xdr:from>
    <xdr:to>
      <xdr:col>2</xdr:col>
      <xdr:colOff>6451600</xdr:colOff>
      <xdr:row>11</xdr:row>
      <xdr:rowOff>50800</xdr:rowOff>
    </xdr:to>
    <xdr:sp macro="" textlink="">
      <xdr:nvSpPr>
        <xdr:cNvPr id="6" name="Oval Callout 5">
          <a:extLst>
            <a:ext uri="{FF2B5EF4-FFF2-40B4-BE49-F238E27FC236}">
              <a16:creationId xmlns:a16="http://schemas.microsoft.com/office/drawing/2014/main" id="{00000000-0008-0000-0000-000006000000}"/>
            </a:ext>
          </a:extLst>
        </xdr:cNvPr>
        <xdr:cNvSpPr/>
      </xdr:nvSpPr>
      <xdr:spPr>
        <a:xfrm>
          <a:off x="6527800" y="1435100"/>
          <a:ext cx="2743200" cy="1371600"/>
        </a:xfrm>
        <a:prstGeom prst="wedgeEllipseCallout">
          <a:avLst>
            <a:gd name="adj1" fmla="val -47149"/>
            <a:gd name="adj2" fmla="val 56402"/>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2400" b="1" cap="none" spc="50">
              <a:ln w="0">
                <a:solidFill>
                  <a:schemeClr val="bg1"/>
                </a:solidFill>
              </a:ln>
              <a:solidFill>
                <a:schemeClr val="bg1"/>
              </a:solidFill>
              <a:effectLst>
                <a:innerShdw blurRad="63500" dist="50800" dir="13500000">
                  <a:srgbClr val="000000">
                    <a:alpha val="50000"/>
                  </a:srgbClr>
                </a:innerShdw>
              </a:effectLst>
            </a:rPr>
            <a:t>Click</a:t>
          </a:r>
          <a:r>
            <a:rPr lang="en-US" sz="2400" b="1" cap="none" spc="50" baseline="0">
              <a:ln w="0">
                <a:solidFill>
                  <a:schemeClr val="bg1"/>
                </a:solidFill>
              </a:ln>
              <a:solidFill>
                <a:schemeClr val="bg1"/>
              </a:solidFill>
              <a:effectLst>
                <a:innerShdw blurRad="63500" dist="50800" dir="13500000">
                  <a:srgbClr val="000000">
                    <a:alpha val="50000"/>
                  </a:srgbClr>
                </a:innerShdw>
              </a:effectLst>
            </a:rPr>
            <a:t> Me for Video Link</a:t>
          </a:r>
          <a:endParaRPr lang="en-US" sz="2400" b="1" cap="none" spc="50">
            <a:ln w="0">
              <a:solidFill>
                <a:schemeClr val="bg1"/>
              </a:solidFill>
            </a:ln>
            <a:solidFill>
              <a:schemeClr val="bg1"/>
            </a:solidFill>
            <a:effectLst>
              <a:innerShdw blurRad="63500" dist="50800" dir="13500000">
                <a:srgbClr val="000000">
                  <a:alpha val="50000"/>
                </a:srgbClr>
              </a:innerShdw>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2</xdr:row>
          <xdr:rowOff>0</xdr:rowOff>
        </xdr:to>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100-00000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Aptos Narrow" charset="0"/>
                </a:rPr>
                <a:t>Top 5 Student Success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0</xdr:colOff>
          <xdr:row>2</xdr:row>
          <xdr:rowOff>0</xdr:rowOff>
        </xdr:to>
        <xdr:sp macro="" textlink="">
          <xdr:nvSpPr>
            <xdr:cNvPr id="13328" name="Button 16" hidden="1">
              <a:extLst>
                <a:ext uri="{63B3BB69-23CF-44E3-9099-C40C66FF867C}">
                  <a14:compatExt spid="_x0000_s13328"/>
                </a:ext>
                <a:ext uri="{FF2B5EF4-FFF2-40B4-BE49-F238E27FC236}">
                  <a16:creationId xmlns:a16="http://schemas.microsoft.com/office/drawing/2014/main" id="{00000000-0008-0000-0100-00001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Aptos Narrow" charset="0"/>
                </a:rPr>
                <a:t>Top 5 Student Safety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203200</xdr:rowOff>
        </xdr:to>
        <xdr:sp macro="" textlink="">
          <xdr:nvSpPr>
            <xdr:cNvPr id="13329" name="Button 17" hidden="1">
              <a:extLst>
                <a:ext uri="{63B3BB69-23CF-44E3-9099-C40C66FF867C}">
                  <a14:compatExt spid="_x0000_s13329"/>
                </a:ext>
                <a:ext uri="{FF2B5EF4-FFF2-40B4-BE49-F238E27FC236}">
                  <a16:creationId xmlns:a16="http://schemas.microsoft.com/office/drawing/2014/main" id="{00000000-0008-0000-0100-00001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7</xdr:col>
          <xdr:colOff>0</xdr:colOff>
          <xdr:row>2</xdr:row>
          <xdr:rowOff>0</xdr:rowOff>
        </xdr:to>
        <xdr:sp macro="" textlink="">
          <xdr:nvSpPr>
            <xdr:cNvPr id="13330" name="Button 18" hidden="1">
              <a:extLst>
                <a:ext uri="{63B3BB69-23CF-44E3-9099-C40C66FF867C}">
                  <a14:compatExt spid="_x0000_s13330"/>
                </a:ext>
                <a:ext uri="{FF2B5EF4-FFF2-40B4-BE49-F238E27FC236}">
                  <a16:creationId xmlns:a16="http://schemas.microsoft.com/office/drawing/2014/main" id="{00000000-0008-0000-0100-00001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Aptos Narrow" charset="0"/>
                </a:rPr>
                <a:t>Top 5 School Quality</a:t>
              </a:r>
            </a:p>
          </xdr:txBody>
        </xdr:sp>
        <xdr:clientData fPrintsWithSheet="0"/>
      </xdr:twoCellAnchor>
    </mc:Choice>
    <mc:Fallback/>
  </mc:AlternateContent>
  <xdr:twoCellAnchor>
    <xdr:from>
      <xdr:col>0</xdr:col>
      <xdr:colOff>181429</xdr:colOff>
      <xdr:row>3</xdr:row>
      <xdr:rowOff>68035</xdr:rowOff>
    </xdr:from>
    <xdr:to>
      <xdr:col>2</xdr:col>
      <xdr:colOff>1723572</xdr:colOff>
      <xdr:row>28</xdr:row>
      <xdr:rowOff>76200</xdr:rowOff>
    </xdr:to>
    <xdr:sp macro="" textlink="">
      <xdr:nvSpPr>
        <xdr:cNvPr id="2" name="Speech Bubble: Rectangle with Corners Rounded 1">
          <a:extLst>
            <a:ext uri="{FF2B5EF4-FFF2-40B4-BE49-F238E27FC236}">
              <a16:creationId xmlns:a16="http://schemas.microsoft.com/office/drawing/2014/main" id="{00000000-0008-0000-0100-000002000000}"/>
            </a:ext>
          </a:extLst>
        </xdr:cNvPr>
        <xdr:cNvSpPr/>
      </xdr:nvSpPr>
      <xdr:spPr>
        <a:xfrm>
          <a:off x="181429" y="918935"/>
          <a:ext cx="5479143" cy="5126265"/>
        </a:xfrm>
        <a:prstGeom prst="wedgeRoundRectCallout">
          <a:avLst>
            <a:gd name="adj1" fmla="val -7681"/>
            <a:gd name="adj2" fmla="val 62725"/>
            <a:gd name="adj3" fmla="val 16667"/>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400" kern="0" spc="0">
              <a:latin typeface="Arial" panose="020B0604020202020204" pitchFamily="34" charset="0"/>
              <a:cs typeface="Arial" panose="020B0604020202020204" pitchFamily="34" charset="0"/>
            </a:rPr>
            <a:t>" </a:t>
          </a:r>
          <a:r>
            <a:rPr lang="en-US" sz="1400" i="1" kern="0" spc="0">
              <a:latin typeface="Arial" panose="020B0604020202020204" pitchFamily="34" charset="0"/>
              <a:cs typeface="Arial" panose="020B0604020202020204" pitchFamily="34" charset="0"/>
            </a:rPr>
            <a:t>I value education</a:t>
          </a:r>
          <a:r>
            <a:rPr lang="en-US" sz="1400" i="1" kern="0" spc="0" baseline="0">
              <a:latin typeface="Arial" panose="020B0604020202020204" pitchFamily="34" charset="0"/>
              <a:cs typeface="Arial" panose="020B0604020202020204" pitchFamily="34" charset="0"/>
            </a:rPr>
            <a:t> so the first criterias I looked for when choosing a state to live in were school rankings or school qualities. This data ranks public schools across states on 3 metrics</a:t>
          </a:r>
          <a:r>
            <a:rPr lang="en-US" sz="1400" i="0" kern="0" spc="0" baseline="0">
              <a:latin typeface="Arial" panose="020B0604020202020204" pitchFamily="34" charset="0"/>
              <a:cs typeface="Arial" panose="020B0604020202020204" pitchFamily="34" charset="0"/>
            </a:rPr>
            <a:t>: </a:t>
          </a:r>
          <a:r>
            <a:rPr lang="en-US" sz="1400" b="1" i="0" kern="0" spc="0" baseline="0">
              <a:latin typeface="Arial" panose="020B0604020202020204" pitchFamily="34" charset="0"/>
              <a:cs typeface="Arial" panose="020B0604020202020204" pitchFamily="34" charset="0"/>
            </a:rPr>
            <a:t>Student Success, Student Safety, </a:t>
          </a:r>
          <a:r>
            <a:rPr lang="en-US" sz="1400" b="0" i="0" kern="0" spc="0" baseline="0">
              <a:latin typeface="Arial" panose="020B0604020202020204" pitchFamily="34" charset="0"/>
              <a:cs typeface="Arial" panose="020B0604020202020204" pitchFamily="34" charset="0"/>
            </a:rPr>
            <a:t>and</a:t>
          </a:r>
          <a:r>
            <a:rPr lang="en-US" sz="1400" b="1" i="0" kern="0" spc="0" baseline="0">
              <a:latin typeface="Arial" panose="020B0604020202020204" pitchFamily="34" charset="0"/>
              <a:cs typeface="Arial" panose="020B0604020202020204" pitchFamily="34" charset="0"/>
            </a:rPr>
            <a:t> School Quality</a:t>
          </a:r>
          <a:r>
            <a:rPr lang="en-US" sz="1400" i="0" kern="0" spc="0" baseline="0">
              <a:latin typeface="Arial" panose="020B0604020202020204" pitchFamily="34" charset="0"/>
              <a:cs typeface="Arial" panose="020B0604020202020204" pitchFamily="34" charset="0"/>
            </a:rPr>
            <a:t>. "</a:t>
          </a:r>
          <a:endParaRPr lang="en-US" sz="1400" kern="0" spc="0" baseline="0">
            <a:latin typeface="Arial" panose="020B0604020202020204" pitchFamily="34" charset="0"/>
            <a:cs typeface="Arial" panose="020B0604020202020204" pitchFamily="34" charset="0"/>
          </a:endParaRPr>
        </a:p>
        <a:p>
          <a:pPr algn="l"/>
          <a:endParaRPr lang="en-US" sz="1400" kern="0" spc="0" baseline="0">
            <a:latin typeface="Arial" panose="020B0604020202020204" pitchFamily="34" charset="0"/>
            <a:cs typeface="Arial" panose="020B0604020202020204" pitchFamily="34" charset="0"/>
          </a:endParaRPr>
        </a:p>
        <a:p>
          <a:pPr algn="l"/>
          <a:r>
            <a:rPr lang="en-US" sz="1400" kern="0" spc="0" baseline="0">
              <a:latin typeface="Arial" panose="020B0604020202020204" pitchFamily="34" charset="0"/>
              <a:cs typeface="Arial" panose="020B0604020202020204" pitchFamily="34" charset="0"/>
            </a:rPr>
            <a:t>1. First, click </a:t>
          </a:r>
          <a:r>
            <a:rPr lang="en-US" sz="1400" b="1" kern="0" spc="0" baseline="0">
              <a:latin typeface="Arial" panose="020B0604020202020204" pitchFamily="34" charset="0"/>
              <a:cs typeface="Arial" panose="020B0604020202020204" pitchFamily="34" charset="0"/>
            </a:rPr>
            <a:t>'Reset'</a:t>
          </a:r>
          <a:r>
            <a:rPr lang="en-US" sz="1400" kern="0" spc="0" baseline="0">
              <a:latin typeface="Arial" panose="020B0604020202020204" pitchFamily="34" charset="0"/>
              <a:cs typeface="Arial" panose="020B0604020202020204" pitchFamily="34" charset="0"/>
            </a:rPr>
            <a:t> to reset table to its default.</a:t>
          </a:r>
        </a:p>
        <a:p>
          <a:pPr algn="l"/>
          <a:r>
            <a:rPr lang="en-US" sz="1400" kern="0" spc="0" baseline="0">
              <a:latin typeface="Arial" panose="020B0604020202020204" pitchFamily="34" charset="0"/>
              <a:cs typeface="Arial" panose="020B0604020202020204" pitchFamily="34" charset="0"/>
            </a:rPr>
            <a:t>2. </a:t>
          </a:r>
        </a:p>
        <a:p>
          <a:pPr algn="l"/>
          <a:r>
            <a:rPr lang="en-US" sz="1400" kern="0" spc="0" baseline="0">
              <a:latin typeface="Arial" panose="020B0604020202020204" pitchFamily="34" charset="0"/>
              <a:cs typeface="Arial" panose="020B0604020202020204" pitchFamily="34" charset="0"/>
            </a:rPr>
            <a:t>     a) If you want rankings based on </a:t>
          </a:r>
          <a:r>
            <a:rPr lang="en-US" sz="1400" b="1" kern="0" spc="0" baseline="0">
              <a:latin typeface="Arial" panose="020B0604020202020204" pitchFamily="34" charset="0"/>
              <a:cs typeface="Arial" panose="020B0604020202020204" pitchFamily="34" charset="0"/>
            </a:rPr>
            <a:t>SAT scores</a:t>
          </a:r>
          <a:r>
            <a:rPr lang="en-US" sz="1400" kern="0" spc="0" baseline="0">
              <a:latin typeface="Arial" panose="020B0604020202020204" pitchFamily="34" charset="0"/>
              <a:cs typeface="Arial" panose="020B0604020202020204" pitchFamily="34" charset="0"/>
            </a:rPr>
            <a:t> or </a:t>
          </a:r>
          <a:r>
            <a:rPr lang="en-US" sz="1400" b="1" kern="0" spc="0" baseline="0">
              <a:latin typeface="Arial" panose="020B0604020202020204" pitchFamily="34" charset="0"/>
              <a:cs typeface="Arial" panose="020B0604020202020204" pitchFamily="34" charset="0"/>
            </a:rPr>
            <a:t>student dropout rate</a:t>
          </a:r>
          <a:r>
            <a:rPr lang="en-US" sz="1400" kern="0" spc="0" baseline="0">
              <a:latin typeface="Arial" panose="020B0604020202020204" pitchFamily="34" charset="0"/>
              <a:cs typeface="Arial" panose="020B0604020202020204" pitchFamily="34" charset="0"/>
            </a:rPr>
            <a:t>, click on </a:t>
          </a:r>
          <a:r>
            <a:rPr lang="en-US" sz="1400" b="1" kern="0" spc="0" baseline="0">
              <a:latin typeface="Arial" panose="020B0604020202020204" pitchFamily="34" charset="0"/>
              <a:cs typeface="Arial" panose="020B0604020202020204" pitchFamily="34" charset="0"/>
            </a:rPr>
            <a:t>'Top 5 Student Success'</a:t>
          </a:r>
          <a:r>
            <a:rPr lang="en-US" sz="1400" kern="0" spc="0" baseline="0">
              <a:latin typeface="Arial" panose="020B0604020202020204" pitchFamily="34" charset="0"/>
              <a:cs typeface="Arial" panose="020B0604020202020204" pitchFamily="34" charset="0"/>
            </a:rPr>
            <a:t> button. </a:t>
          </a:r>
        </a:p>
        <a:p>
          <a:pPr algn="l"/>
          <a:br>
            <a:rPr lang="en-US" sz="1400" kern="0" spc="0" baseline="0">
              <a:latin typeface="Arial" panose="020B0604020202020204" pitchFamily="34" charset="0"/>
              <a:cs typeface="Arial" panose="020B0604020202020204" pitchFamily="34" charset="0"/>
            </a:rPr>
          </a:br>
          <a:r>
            <a:rPr lang="en-US" sz="1400" kern="0" spc="0" baseline="0">
              <a:latin typeface="Arial" panose="020B0604020202020204" pitchFamily="34" charset="0"/>
              <a:cs typeface="Arial" panose="020B0604020202020204" pitchFamily="34" charset="0"/>
            </a:rPr>
            <a:t>     b) If you want rankings based on safety through indicators like bullying rates or assault rates, click on </a:t>
          </a:r>
          <a:r>
            <a:rPr lang="en-US" sz="1400" b="0" kern="0" spc="0" baseline="0">
              <a:latin typeface="Arial" panose="020B0604020202020204" pitchFamily="34" charset="0"/>
              <a:cs typeface="Arial" panose="020B0604020202020204" pitchFamily="34" charset="0"/>
            </a:rPr>
            <a:t>'</a:t>
          </a:r>
          <a:r>
            <a:rPr lang="en-US" sz="1400" b="1" kern="0" spc="0" baseline="0">
              <a:latin typeface="Arial" panose="020B0604020202020204" pitchFamily="34" charset="0"/>
              <a:cs typeface="Arial" panose="020B0604020202020204" pitchFamily="34" charset="0"/>
            </a:rPr>
            <a:t>Top 5 Student Safety'</a:t>
          </a:r>
          <a:r>
            <a:rPr lang="en-US" sz="1400" kern="0" spc="0" baseline="0">
              <a:latin typeface="Arial" panose="020B0604020202020204" pitchFamily="34" charset="0"/>
              <a:cs typeface="Arial" panose="020B0604020202020204" pitchFamily="34" charset="0"/>
            </a:rPr>
            <a:t> button. </a:t>
          </a:r>
        </a:p>
        <a:p>
          <a:pPr algn="l"/>
          <a:br>
            <a:rPr lang="en-US" sz="1400" kern="0" spc="0" baseline="0">
              <a:latin typeface="Arial" panose="020B0604020202020204" pitchFamily="34" charset="0"/>
              <a:cs typeface="Arial" panose="020B0604020202020204" pitchFamily="34" charset="0"/>
            </a:rPr>
          </a:br>
          <a:r>
            <a:rPr lang="en-US" sz="1400" kern="0" spc="0" baseline="0">
              <a:latin typeface="Arial" panose="020B0604020202020204" pitchFamily="34" charset="0"/>
              <a:cs typeface="Arial" panose="020B0604020202020204" pitchFamily="34" charset="0"/>
            </a:rPr>
            <a:t>     c) If you want rankings based on </a:t>
          </a:r>
          <a:r>
            <a:rPr lang="en-US" sz="1400" b="1" kern="0" spc="0" baseline="0">
              <a:latin typeface="Arial" panose="020B0604020202020204" pitchFamily="34" charset="0"/>
              <a:cs typeface="Arial" panose="020B0604020202020204" pitchFamily="34" charset="0"/>
            </a:rPr>
            <a:t>how much school spent on students</a:t>
          </a:r>
          <a:r>
            <a:rPr lang="en-US" sz="1400" kern="0" spc="0" baseline="0">
              <a:latin typeface="Arial" panose="020B0604020202020204" pitchFamily="34" charset="0"/>
              <a:cs typeface="Arial" panose="020B0604020202020204" pitchFamily="34" charset="0"/>
            </a:rPr>
            <a:t> or </a:t>
          </a:r>
          <a:r>
            <a:rPr lang="en-US" sz="1400" b="1" kern="0" spc="0" baseline="0">
              <a:latin typeface="Arial" panose="020B0604020202020204" pitchFamily="34" charset="0"/>
              <a:cs typeface="Arial" panose="020B0604020202020204" pitchFamily="34" charset="0"/>
            </a:rPr>
            <a:t>student-to-teacher ratio</a:t>
          </a:r>
          <a:r>
            <a:rPr lang="en-US" sz="1400" kern="0" spc="0" baseline="0">
              <a:latin typeface="Arial" panose="020B0604020202020204" pitchFamily="34" charset="0"/>
              <a:cs typeface="Arial" panose="020B0604020202020204" pitchFamily="34" charset="0"/>
            </a:rPr>
            <a:t>, click on </a:t>
          </a:r>
          <a:r>
            <a:rPr lang="en-US" sz="1400" b="1" kern="0" spc="0" baseline="0">
              <a:latin typeface="Arial" panose="020B0604020202020204" pitchFamily="34" charset="0"/>
              <a:cs typeface="Arial" panose="020B0604020202020204" pitchFamily="34" charset="0"/>
            </a:rPr>
            <a:t>'Top 5 School Quality' </a:t>
          </a:r>
          <a:r>
            <a:rPr lang="en-US" sz="1400" b="0" kern="0" spc="0" baseline="0">
              <a:latin typeface="Arial" panose="020B0604020202020204" pitchFamily="34" charset="0"/>
              <a:cs typeface="Arial" panose="020B0604020202020204" pitchFamily="34" charset="0"/>
            </a:rPr>
            <a:t>button.</a:t>
          </a:r>
        </a:p>
        <a:p>
          <a:pPr algn="l"/>
          <a:endParaRPr lang="en-US" sz="1400" b="0" kern="0" spc="0" baseline="0">
            <a:latin typeface="Arial" panose="020B0604020202020204" pitchFamily="34" charset="0"/>
            <a:cs typeface="Arial" panose="020B0604020202020204" pitchFamily="34" charset="0"/>
          </a:endParaRPr>
        </a:p>
        <a:p>
          <a:pPr algn="l"/>
          <a:r>
            <a:rPr lang="en-US" sz="1400" b="0" kern="0" spc="0" baseline="0">
              <a:latin typeface="Arial" panose="020B0604020202020204" pitchFamily="34" charset="0"/>
              <a:cs typeface="Arial" panose="020B0604020202020204" pitchFamily="34" charset="0"/>
            </a:rPr>
            <a:t>3. *** Click </a:t>
          </a:r>
          <a:r>
            <a:rPr lang="en-US" sz="1400" b="1" kern="0" spc="0" baseline="0">
              <a:latin typeface="Arial" panose="020B0604020202020204" pitchFamily="34" charset="0"/>
              <a:cs typeface="Arial" panose="020B0604020202020204" pitchFamily="34" charset="0"/>
            </a:rPr>
            <a:t>'Reset'</a:t>
          </a:r>
          <a:r>
            <a:rPr lang="en-US" sz="1400" b="0" kern="0" spc="0" baseline="0">
              <a:latin typeface="Arial" panose="020B0604020202020204" pitchFamily="34" charset="0"/>
              <a:cs typeface="Arial" panose="020B0604020202020204" pitchFamily="34" charset="0"/>
            </a:rPr>
            <a:t> right after clicking the </a:t>
          </a:r>
          <a:r>
            <a:rPr lang="en-US" sz="1400" b="1" kern="0" spc="0" baseline="0">
              <a:latin typeface="Arial" panose="020B0604020202020204" pitchFamily="34" charset="0"/>
              <a:cs typeface="Arial" panose="020B0604020202020204" pitchFamily="34" charset="0"/>
            </a:rPr>
            <a:t>'Top 5 ...'</a:t>
          </a:r>
          <a:r>
            <a:rPr lang="en-US" sz="1400" b="0" kern="0" spc="0" baseline="0">
              <a:latin typeface="Arial" panose="020B0604020202020204" pitchFamily="34" charset="0"/>
              <a:cs typeface="Arial" panose="020B0604020202020204" pitchFamily="34" charset="0"/>
            </a:rPr>
            <a:t> buttons for a cleaner look.</a:t>
          </a:r>
          <a:endParaRPr lang="en-US" sz="1400" kern="0" spc="0">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1295400</xdr:colOff>
      <xdr:row>2</xdr:row>
      <xdr:rowOff>0</xdr:rowOff>
    </xdr:from>
    <xdr:to>
      <xdr:col>2</xdr:col>
      <xdr:colOff>1866900</xdr:colOff>
      <xdr:row>5</xdr:row>
      <xdr:rowOff>0</xdr:rowOff>
    </xdr:to>
    <xdr:sp macro="[0]!LowFirstTempF" textlink="">
      <xdr:nvSpPr>
        <xdr:cNvPr id="2" name="Arrow: Down 1">
          <a:extLst>
            <a:ext uri="{FF2B5EF4-FFF2-40B4-BE49-F238E27FC236}">
              <a16:creationId xmlns:a16="http://schemas.microsoft.com/office/drawing/2014/main" id="{00000000-0008-0000-0200-000002000000}"/>
            </a:ext>
          </a:extLst>
        </xdr:cNvPr>
        <xdr:cNvSpPr/>
      </xdr:nvSpPr>
      <xdr:spPr>
        <a:xfrm>
          <a:off x="49149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1295400</xdr:colOff>
      <xdr:row>2</xdr:row>
      <xdr:rowOff>0</xdr:rowOff>
    </xdr:from>
    <xdr:to>
      <xdr:col>3</xdr:col>
      <xdr:colOff>1866900</xdr:colOff>
      <xdr:row>5</xdr:row>
      <xdr:rowOff>0</xdr:rowOff>
    </xdr:to>
    <xdr:sp macro="[0]!LowFirstTempC" textlink="">
      <xdr:nvSpPr>
        <xdr:cNvPr id="3" name="Arrow: Down 2">
          <a:extLst>
            <a:ext uri="{FF2B5EF4-FFF2-40B4-BE49-F238E27FC236}">
              <a16:creationId xmlns:a16="http://schemas.microsoft.com/office/drawing/2014/main" id="{00000000-0008-0000-0200-000003000000}"/>
            </a:ext>
          </a:extLst>
        </xdr:cNvPr>
        <xdr:cNvSpPr/>
      </xdr:nvSpPr>
      <xdr:spPr>
        <a:xfrm>
          <a:off x="80137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1295400</xdr:colOff>
      <xdr:row>2</xdr:row>
      <xdr:rowOff>0</xdr:rowOff>
    </xdr:from>
    <xdr:to>
      <xdr:col>4</xdr:col>
      <xdr:colOff>1866900</xdr:colOff>
      <xdr:row>5</xdr:row>
      <xdr:rowOff>0</xdr:rowOff>
    </xdr:to>
    <xdr:sp macro="[0]!LowFirstSunlight" textlink="">
      <xdr:nvSpPr>
        <xdr:cNvPr id="4" name="Arrow: Down 3">
          <a:extLst>
            <a:ext uri="{FF2B5EF4-FFF2-40B4-BE49-F238E27FC236}">
              <a16:creationId xmlns:a16="http://schemas.microsoft.com/office/drawing/2014/main" id="{00000000-0008-0000-0200-000004000000}"/>
            </a:ext>
          </a:extLst>
        </xdr:cNvPr>
        <xdr:cNvSpPr/>
      </xdr:nvSpPr>
      <xdr:spPr>
        <a:xfrm>
          <a:off x="111125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1295400</xdr:colOff>
      <xdr:row>2</xdr:row>
      <xdr:rowOff>0</xdr:rowOff>
    </xdr:from>
    <xdr:to>
      <xdr:col>5</xdr:col>
      <xdr:colOff>1866900</xdr:colOff>
      <xdr:row>5</xdr:row>
      <xdr:rowOff>0</xdr:rowOff>
    </xdr:to>
    <xdr:sp macro="[0]!LowFirstPrecipitation" textlink="">
      <xdr:nvSpPr>
        <xdr:cNvPr id="6" name="Arrow: Down 5">
          <a:extLst>
            <a:ext uri="{FF2B5EF4-FFF2-40B4-BE49-F238E27FC236}">
              <a16:creationId xmlns:a16="http://schemas.microsoft.com/office/drawing/2014/main" id="{00000000-0008-0000-0200-000006000000}"/>
            </a:ext>
          </a:extLst>
        </xdr:cNvPr>
        <xdr:cNvSpPr/>
      </xdr:nvSpPr>
      <xdr:spPr>
        <a:xfrm>
          <a:off x="142113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1295400</xdr:colOff>
      <xdr:row>2</xdr:row>
      <xdr:rowOff>0</xdr:rowOff>
    </xdr:from>
    <xdr:to>
      <xdr:col>6</xdr:col>
      <xdr:colOff>1866900</xdr:colOff>
      <xdr:row>5</xdr:row>
      <xdr:rowOff>0</xdr:rowOff>
    </xdr:to>
    <xdr:sp macro="[0]!LowFirstSnowfall" textlink="">
      <xdr:nvSpPr>
        <xdr:cNvPr id="7" name="Arrow: Down 6">
          <a:extLst>
            <a:ext uri="{FF2B5EF4-FFF2-40B4-BE49-F238E27FC236}">
              <a16:creationId xmlns:a16="http://schemas.microsoft.com/office/drawing/2014/main" id="{00000000-0008-0000-0200-000007000000}"/>
            </a:ext>
          </a:extLst>
        </xdr:cNvPr>
        <xdr:cNvSpPr/>
      </xdr:nvSpPr>
      <xdr:spPr>
        <a:xfrm>
          <a:off x="173101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1295400</xdr:colOff>
      <xdr:row>2</xdr:row>
      <xdr:rowOff>0</xdr:rowOff>
    </xdr:from>
    <xdr:to>
      <xdr:col>7</xdr:col>
      <xdr:colOff>1866900</xdr:colOff>
      <xdr:row>5</xdr:row>
      <xdr:rowOff>0</xdr:rowOff>
    </xdr:to>
    <xdr:sp macro="[0]!LowFirstExtrEvents" textlink="">
      <xdr:nvSpPr>
        <xdr:cNvPr id="8" name="Arrow: Down 7">
          <a:extLst>
            <a:ext uri="{FF2B5EF4-FFF2-40B4-BE49-F238E27FC236}">
              <a16:creationId xmlns:a16="http://schemas.microsoft.com/office/drawing/2014/main" id="{00000000-0008-0000-0200-000008000000}"/>
            </a:ext>
          </a:extLst>
        </xdr:cNvPr>
        <xdr:cNvSpPr/>
      </xdr:nvSpPr>
      <xdr:spPr>
        <a:xfrm>
          <a:off x="204089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1295400</xdr:colOff>
      <xdr:row>2</xdr:row>
      <xdr:rowOff>0</xdr:rowOff>
    </xdr:from>
    <xdr:to>
      <xdr:col>8</xdr:col>
      <xdr:colOff>1866900</xdr:colOff>
      <xdr:row>5</xdr:row>
      <xdr:rowOff>0</xdr:rowOff>
    </xdr:to>
    <xdr:sp macro="[0]!LowFirstCrime" textlink="">
      <xdr:nvSpPr>
        <xdr:cNvPr id="9" name="Arrow: Down 8">
          <a:extLst>
            <a:ext uri="{FF2B5EF4-FFF2-40B4-BE49-F238E27FC236}">
              <a16:creationId xmlns:a16="http://schemas.microsoft.com/office/drawing/2014/main" id="{00000000-0008-0000-0200-000009000000}"/>
            </a:ext>
          </a:extLst>
        </xdr:cNvPr>
        <xdr:cNvSpPr/>
      </xdr:nvSpPr>
      <xdr:spPr>
        <a:xfrm>
          <a:off x="235077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9</xdr:col>
      <xdr:colOff>1295400</xdr:colOff>
      <xdr:row>2</xdr:row>
      <xdr:rowOff>0</xdr:rowOff>
    </xdr:from>
    <xdr:to>
      <xdr:col>9</xdr:col>
      <xdr:colOff>1866900</xdr:colOff>
      <xdr:row>5</xdr:row>
      <xdr:rowOff>0</xdr:rowOff>
    </xdr:to>
    <xdr:sp macro="[0]!LowFirstPopulation" textlink="">
      <xdr:nvSpPr>
        <xdr:cNvPr id="10" name="Arrow: Down 9">
          <a:extLst>
            <a:ext uri="{FF2B5EF4-FFF2-40B4-BE49-F238E27FC236}">
              <a16:creationId xmlns:a16="http://schemas.microsoft.com/office/drawing/2014/main" id="{00000000-0008-0000-0200-00000A000000}"/>
            </a:ext>
          </a:extLst>
        </xdr:cNvPr>
        <xdr:cNvSpPr/>
      </xdr:nvSpPr>
      <xdr:spPr>
        <a:xfrm>
          <a:off x="26606500" y="660400"/>
          <a:ext cx="571500" cy="609600"/>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1</xdr:col>
      <xdr:colOff>1295400</xdr:colOff>
      <xdr:row>1</xdr:row>
      <xdr:rowOff>292100</xdr:rowOff>
    </xdr:from>
    <xdr:to>
      <xdr:col>1</xdr:col>
      <xdr:colOff>1981200</xdr:colOff>
      <xdr:row>5</xdr:row>
      <xdr:rowOff>63500</xdr:rowOff>
    </xdr:to>
    <xdr:pic macro="[0]!Reset_Table2">
      <xdr:nvPicPr>
        <xdr:cNvPr id="13" name="Graphic 12" descr="Repeat with solid fill">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16100" y="622300"/>
          <a:ext cx="685800" cy="711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863600</xdr:colOff>
      <xdr:row>0</xdr:row>
      <xdr:rowOff>254000</xdr:rowOff>
    </xdr:from>
    <xdr:to>
      <xdr:col>8</xdr:col>
      <xdr:colOff>2857500</xdr:colOff>
      <xdr:row>9</xdr:row>
      <xdr:rowOff>127000</xdr:rowOff>
    </xdr:to>
    <xdr:sp macro="" textlink="">
      <xdr:nvSpPr>
        <xdr:cNvPr id="2" name="Thought Bubble: Cloud 1">
          <a:extLst>
            <a:ext uri="{FF2B5EF4-FFF2-40B4-BE49-F238E27FC236}">
              <a16:creationId xmlns:a16="http://schemas.microsoft.com/office/drawing/2014/main" id="{00000000-0008-0000-0300-000002000000}"/>
            </a:ext>
          </a:extLst>
        </xdr:cNvPr>
        <xdr:cNvSpPr/>
      </xdr:nvSpPr>
      <xdr:spPr>
        <a:xfrm>
          <a:off x="12590483" y="254000"/>
          <a:ext cx="6496627" cy="2511961"/>
        </a:xfrm>
        <a:prstGeom prst="cloudCallout">
          <a:avLst>
            <a:gd name="adj1" fmla="val -49726"/>
            <a:gd name="adj2" fmla="val 60197"/>
          </a:avLst>
        </a:prstGeom>
        <a:noFill/>
        <a:ln w="76200" cap="flat" cmpd="sng" algn="ctr">
          <a:solidFill>
            <a:schemeClr val="accent2"/>
          </a:solidFill>
          <a:prstDash val="solid"/>
          <a:round/>
          <a:headEnd type="none" w="med" len="med"/>
          <a:tailEnd type="none" w="med" len="med"/>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US"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7</xdr:col>
      <xdr:colOff>0</xdr:colOff>
      <xdr:row>12</xdr:row>
      <xdr:rowOff>148182</xdr:rowOff>
    </xdr:from>
    <xdr:to>
      <xdr:col>11</xdr:col>
      <xdr:colOff>0</xdr:colOff>
      <xdr:row>37</xdr:row>
      <xdr:rowOff>0</xdr:rowOff>
    </xdr:to>
    <mc:AlternateContent xmlns:mc="http://schemas.openxmlformats.org/markup-compatibility/2006">
      <mc:Choice xmlns:cx4="http://schemas.microsoft.com/office/drawing/2016/5/10/chartex" Requires="cx4">
        <xdr:graphicFrame macro="">
          <xdr:nvGraphicFramePr>
            <xdr:cNvPr id="3" name="Chart 4">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3957300" y="3577182"/>
              <a:ext cx="9055100" cy="493181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0</xdr:colOff>
      <xdr:row>36</xdr:row>
      <xdr:rowOff>197921</xdr:rowOff>
    </xdr:from>
    <xdr:to>
      <xdr:col>11</xdr:col>
      <xdr:colOff>0</xdr:colOff>
      <xdr:row>62</xdr:row>
      <xdr:rowOff>0</xdr:rowOff>
    </xdr:to>
    <mc:AlternateContent xmlns:mc="http://schemas.openxmlformats.org/markup-compatibility/2006">
      <mc:Choice xmlns:cx4="http://schemas.microsoft.com/office/drawing/2016/5/10/chartex" Requires="cx4">
        <xdr:graphicFrame macro="">
          <xdr:nvGraphicFramePr>
            <xdr:cNvPr id="4" name="Chart 1">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3957300" y="8503721"/>
              <a:ext cx="9055100" cy="508527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10</xdr:col>
      <xdr:colOff>0</xdr:colOff>
      <xdr:row>4</xdr:row>
      <xdr:rowOff>0</xdr:rowOff>
    </xdr:from>
    <xdr:to>
      <xdr:col>20</xdr:col>
      <xdr:colOff>0</xdr:colOff>
      <xdr:row>29</xdr:row>
      <xdr:rowOff>0</xdr:rowOff>
    </xdr:to>
    <xdr:graphicFrame macro="">
      <xdr:nvGraphicFramePr>
        <xdr:cNvPr id="2" name="Chart 9">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4</xdr:row>
      <xdr:rowOff>7353</xdr:rowOff>
    </xdr:from>
    <xdr:to>
      <xdr:col>4</xdr:col>
      <xdr:colOff>0</xdr:colOff>
      <xdr:row>47</xdr:row>
      <xdr:rowOff>133350</xdr:rowOff>
    </xdr:to>
    <mc:AlternateContent xmlns:mc="http://schemas.openxmlformats.org/markup-compatibility/2006" xmlns:a14="http://schemas.microsoft.com/office/drawing/2010/main">
      <mc:Choice Requires="a14">
        <xdr:graphicFrame macro="">
          <xdr:nvGraphicFramePr>
            <xdr:cNvPr id="3" name="Income_Slicer">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Income_Slicer"/>
            </a:graphicData>
          </a:graphic>
        </xdr:graphicFrame>
      </mc:Choice>
      <mc:Fallback xmlns="">
        <xdr:sp macro="" textlink="">
          <xdr:nvSpPr>
            <xdr:cNvPr id="0" name=""/>
            <xdr:cNvSpPr>
              <a:spLocks noTextEdit="1"/>
            </xdr:cNvSpPr>
          </xdr:nvSpPr>
          <xdr:spPr>
            <a:xfrm>
              <a:off x="0" y="1007478"/>
              <a:ext cx="3848100" cy="88000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11</xdr:col>
      <xdr:colOff>0</xdr:colOff>
      <xdr:row>4</xdr:row>
      <xdr:rowOff>0</xdr:rowOff>
    </xdr:from>
    <xdr:to>
      <xdr:col>19</xdr:col>
      <xdr:colOff>95214</xdr:colOff>
      <xdr:row>28</xdr:row>
      <xdr:rowOff>196734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4</xdr:row>
      <xdr:rowOff>11755</xdr:rowOff>
    </xdr:from>
    <xdr:to>
      <xdr:col>3</xdr:col>
      <xdr:colOff>965199</xdr:colOff>
      <xdr:row>47</xdr:row>
      <xdr:rowOff>140787</xdr:rowOff>
    </xdr:to>
    <mc:AlternateContent xmlns:mc="http://schemas.openxmlformats.org/markup-compatibility/2006" xmlns:a14="http://schemas.microsoft.com/office/drawing/2010/main">
      <mc:Choice Requires="a14">
        <xdr:graphicFrame macro="">
          <xdr:nvGraphicFramePr>
            <xdr:cNvPr id="3" name="Unemp_Slicer">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Unemp_Slicer"/>
            </a:graphicData>
          </a:graphic>
        </xdr:graphicFrame>
      </mc:Choice>
      <mc:Fallback xmlns="">
        <xdr:sp macro="" textlink="">
          <xdr:nvSpPr>
            <xdr:cNvPr id="0" name=""/>
            <xdr:cNvSpPr>
              <a:spLocks noTextEdit="1"/>
            </xdr:cNvSpPr>
          </xdr:nvSpPr>
          <xdr:spPr>
            <a:xfrm>
              <a:off x="0" y="1218255"/>
              <a:ext cx="3860799" cy="89428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hoa Pham" refreshedDate="45413.260948495372" createdVersion="8" refreshedVersion="8" minRefreshableVersion="3" recordCount="51" xr:uid="{2744E7B6-B930-CB49-9BD9-BD792CD960D4}">
  <cacheSource type="worksheet">
    <worksheetSource name="Table186"/>
  </cacheSource>
  <cacheFields count="5">
    <cacheField name="State" numFmtId="0">
      <sharedItems containsNonDate="0" count="51">
        <s v="North Dakota"/>
        <s v="South Dakota"/>
        <s v="Nebraska"/>
        <s v="Vermont"/>
        <s v="New Hampshire"/>
        <s v="Utah"/>
        <s v="Alabama"/>
        <s v="Kansas"/>
        <s v="Minnesota"/>
        <s v="Missouri"/>
        <s v="Montana"/>
        <s v="Iowa"/>
        <s v="Maine"/>
        <s v="Virginia"/>
        <s v="Idaho"/>
        <s v="Wisconsin"/>
        <s v="Maryland"/>
        <s v="Florida"/>
        <s v="Colorado"/>
        <s v="Georgia"/>
        <s v="Oklahoma"/>
        <s v="Indiana"/>
        <s v="Rhode Island"/>
        <s v="South Carolina"/>
        <s v="Arkansas"/>
        <s v="Hawaii"/>
        <s v="Wyoming"/>
        <s v="Tennessee"/>
        <s v="Massachusetts"/>
        <s v="North Carolina"/>
        <s v="Louisiana"/>
        <s v="Mississippi"/>
        <s v="Arizona"/>
        <s v="Oregon"/>
        <s v="Texas"/>
        <s v="West Virginia"/>
        <s v="New Jersey"/>
        <s v="Ohio"/>
        <s v="Kentucky"/>
        <s v="Pennsylvania"/>
        <s v="Connecticut"/>
        <s v="New Mexico"/>
        <s v="Michigan"/>
        <s v="Washington"/>
        <s v="Alaska"/>
        <s v="Delaware"/>
        <s v="New York"/>
        <s v="California"/>
        <s v="Illinois"/>
        <s v="District of Columbia"/>
        <s v="Nevada"/>
      </sharedItems>
    </cacheField>
    <cacheField name="2020 Rate (%)" numFmtId="0">
      <sharedItems containsSemiMixedTypes="0" containsString="0" containsNumber="1" minValue="4.2" maxValue="13.5" count="40">
        <n v="4.9000000000000004"/>
        <n v="4.2"/>
        <n v="4.3"/>
        <n v="5.6"/>
        <n v="6.7"/>
        <n v="4.8"/>
        <n v="6.4"/>
        <n v="5.8"/>
        <n v="6.3"/>
        <n v="6.2"/>
        <n v="5.2"/>
        <n v="5.0999999999999996"/>
        <n v="5.5"/>
        <n v="8.1"/>
        <n v="6.8"/>
        <n v="6.5"/>
        <n v="7.3"/>
        <n v="9.1999999999999993"/>
        <n v="6"/>
        <n v="11.7"/>
        <n v="5.9"/>
        <n v="7.4"/>
        <n v="9.3000000000000007"/>
        <n v="7.2"/>
        <n v="8.6"/>
        <n v="8"/>
        <n v="7.8"/>
        <n v="7.6"/>
        <n v="7.7"/>
        <n v="8.1999999999999993"/>
        <n v="9.4"/>
        <n v="8.9"/>
        <n v="7.9"/>
        <n v="10"/>
        <n v="8.5"/>
        <n v="8.3000000000000007"/>
        <n v="7.5"/>
        <n v="9.8000000000000007"/>
        <n v="10.1"/>
        <n v="13.5"/>
      </sharedItems>
    </cacheField>
    <cacheField name="2021 Rate (%)" numFmtId="0">
      <sharedItems containsSemiMixedTypes="0" containsString="0" containsNumber="1" minValue="2.6" maxValue="7.3" count="28">
        <n v="3"/>
        <n v="2.6"/>
        <n v="3.6"/>
        <n v="3.4"/>
        <n v="2.8"/>
        <n v="3.3"/>
        <n v="3.7"/>
        <n v="4.2"/>
        <n v="3.8"/>
        <n v="4.7"/>
        <n v="3.9"/>
        <n v="5.2"/>
        <n v="5.5"/>
        <n v="4"/>
        <n v="6"/>
        <n v="4.5"/>
        <n v="5.4"/>
        <n v="4.9000000000000004"/>
        <n v="5.6"/>
        <n v="5.0999999999999996"/>
        <n v="6.7"/>
        <n v="5.9"/>
        <n v="6.4"/>
        <n v="7.1"/>
        <n v="5.7"/>
        <n v="7.3"/>
        <n v="6.1"/>
        <n v="6.8"/>
      </sharedItems>
    </cacheField>
    <cacheField name="2022 Rate (%)" numFmtId="0">
      <sharedItems containsSemiMixedTypes="0" containsString="0" containsNumber="1" minValue="2" maxValue="5.2" count="24">
        <n v="2"/>
        <n v="2.2000000000000002"/>
        <n v="2.2999999999999998"/>
        <n v="2.4"/>
        <n v="2.5"/>
        <n v="2.6"/>
        <n v="2.7"/>
        <n v="2.8"/>
        <n v="2.9"/>
        <n v="3"/>
        <n v="3.1"/>
        <n v="3.2"/>
        <n v="3.3"/>
        <n v="3.4"/>
        <n v="3.7"/>
        <n v="3.8"/>
        <n v="3.9"/>
        <n v="4"/>
        <n v="4.0999999999999996"/>
        <n v="4.2"/>
        <n v="4.3"/>
        <n v="4.5999999999999996"/>
        <n v="4.7"/>
        <n v="5.2"/>
      </sharedItems>
    </cacheField>
    <cacheField name="2023 Rate (%)" numFmtId="0">
      <sharedItems containsSemiMixedTypes="0" containsString="0" containsNumber="1" minValue="1.9" maxValue="5.0999999999999996"/>
    </cacheField>
  </cacheFields>
  <extLst>
    <ext xmlns:x14="http://schemas.microsoft.com/office/spreadsheetml/2009/9/main" uri="{725AE2AE-9491-48be-B2B4-4EB974FC3084}">
      <x14:pivotCacheDefinition pivotCacheId="7825255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hoa Pham" refreshedDate="45413.382510648145" createdVersion="8" refreshedVersion="8" minRefreshableVersion="3" recordCount="51" xr:uid="{A86C213F-290E-7741-96F8-D00376AE694E}">
  <cacheSource type="worksheet">
    <worksheetSource name="Median_Income"/>
  </cacheSource>
  <cacheFields count="7">
    <cacheField name="States" numFmtId="0">
      <sharedItems containsNonDate="0" count="51">
        <s v="Alabama"/>
        <s v="Alaska"/>
        <s v="Arizona"/>
        <s v="Arkansas"/>
        <s v="California"/>
        <s v="Colorado"/>
        <s v="Connecticut"/>
        <s v="Delaware"/>
        <s v="District Of Columbia"/>
        <s v="Florida"/>
        <s v="Georgia"/>
        <s v="Hawaii"/>
        <s v="Idaho"/>
        <s v="Illinois"/>
        <s v="Indian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Iowa"/>
        <s v="Utah"/>
        <s v="Vermont"/>
        <s v="Virginia"/>
        <s v="Washington"/>
        <s v="West Virginia"/>
        <s v="Wisconsin"/>
        <s v="Wyoming"/>
      </sharedItems>
    </cacheField>
    <cacheField name="1 Earner (2012)" numFmtId="166">
      <sharedItems containsSemiMixedTypes="0" containsString="0" containsNumber="1" containsInteger="1" minValue="40148" maxValue="78711" count="51">
        <n v="47624"/>
        <n v="69739"/>
        <n v="51546"/>
        <n v="42752"/>
        <n v="62477"/>
        <n v="62735"/>
        <n v="70396"/>
        <n v="53659"/>
        <n v="71490"/>
        <n v="50480"/>
        <n v="52726"/>
        <n v="61648"/>
        <n v="52508"/>
        <n v="56690"/>
        <n v="50575"/>
        <n v="54788"/>
        <n v="45018"/>
        <n v="42826"/>
        <n v="53863"/>
        <n v="78711"/>
        <n v="69748"/>
        <n v="54802"/>
        <n v="67709"/>
        <n v="40148"/>
        <n v="54527"/>
        <n v="49403"/>
        <n v="57191"/>
        <n v="51863"/>
        <n v="74310"/>
        <n v="73075"/>
        <n v="47580"/>
        <n v="52243"/>
        <n v="45530"/>
        <n v="61103"/>
        <n v="48622"/>
        <n v="53040"/>
        <n v="56730"/>
        <n v="56871"/>
        <n v="61431"/>
        <n v="48650"/>
        <n v="54144"/>
        <n v="47110"/>
        <n v="56896"/>
        <n v="58557"/>
        <n v="63924"/>
        <n v="60901"/>
        <n v="70818"/>
        <n v="68139"/>
        <n v="47721"/>
        <n v="58159"/>
        <n v="63016"/>
      </sharedItems>
    </cacheField>
    <cacheField name="1 Earner (2018)" numFmtId="166">
      <sharedItems containsSemiMixedTypes="0" containsString="0" containsNumber="1" containsInteger="1" minValue="42781" maxValue="86345"/>
    </cacheField>
    <cacheField name="1 Earner (2023)" numFmtId="166">
      <sharedItems containsSemiMixedTypes="0" containsString="0" containsNumber="1" containsInteger="1" minValue="48603" maxValue="86370"/>
    </cacheField>
    <cacheField name="2 People" numFmtId="166">
      <sharedItems containsSemiMixedTypes="0" containsString="0" containsNumber="1" containsInteger="1" minValue="60981" maxValue="146440"/>
    </cacheField>
    <cacheField name="3 People" numFmtId="166">
      <sharedItems containsSemiMixedTypes="0" containsString="0" containsNumber="1" containsInteger="1" minValue="70950" maxValue="146440"/>
    </cacheField>
    <cacheField name="4 People" numFmtId="166">
      <sharedItems containsSemiMixedTypes="0" containsString="0" containsNumber="1" containsInteger="1" minValue="82110" maxValue="204686"/>
    </cacheField>
  </cacheFields>
  <extLst>
    <ext xmlns:x14="http://schemas.microsoft.com/office/spreadsheetml/2009/9/main" uri="{725AE2AE-9491-48be-B2B4-4EB974FC3084}">
      <x14:pivotCacheDefinition pivotCacheId="6382143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x v="0"/>
    <x v="0"/>
    <x v="0"/>
    <n v="1.9"/>
  </r>
  <r>
    <x v="1"/>
    <x v="1"/>
    <x v="1"/>
    <x v="0"/>
    <n v="2"/>
  </r>
  <r>
    <x v="2"/>
    <x v="2"/>
    <x v="1"/>
    <x v="1"/>
    <n v="2.2999999999999998"/>
  </r>
  <r>
    <x v="3"/>
    <x v="3"/>
    <x v="2"/>
    <x v="2"/>
    <n v="2"/>
  </r>
  <r>
    <x v="4"/>
    <x v="4"/>
    <x v="3"/>
    <x v="2"/>
    <n v="2.2000000000000002"/>
  </r>
  <r>
    <x v="5"/>
    <x v="5"/>
    <x v="4"/>
    <x v="3"/>
    <n v="2.6"/>
  </r>
  <r>
    <x v="6"/>
    <x v="6"/>
    <x v="3"/>
    <x v="4"/>
    <n v="2.5"/>
  </r>
  <r>
    <x v="7"/>
    <x v="7"/>
    <x v="5"/>
    <x v="5"/>
    <n v="2.7"/>
  </r>
  <r>
    <x v="8"/>
    <x v="8"/>
    <x v="6"/>
    <x v="5"/>
    <n v="2.8"/>
  </r>
  <r>
    <x v="9"/>
    <x v="9"/>
    <x v="7"/>
    <x v="5"/>
    <n v="3"/>
  </r>
  <r>
    <x v="10"/>
    <x v="7"/>
    <x v="3"/>
    <x v="6"/>
    <n v="2.9"/>
  </r>
  <r>
    <x v="11"/>
    <x v="10"/>
    <x v="8"/>
    <x v="7"/>
    <n v="2.9"/>
  </r>
  <r>
    <x v="12"/>
    <x v="11"/>
    <x v="9"/>
    <x v="7"/>
    <n v="2.9"/>
  </r>
  <r>
    <x v="13"/>
    <x v="6"/>
    <x v="10"/>
    <x v="7"/>
    <n v="2.9"/>
  </r>
  <r>
    <x v="14"/>
    <x v="12"/>
    <x v="2"/>
    <x v="7"/>
    <n v="3.1"/>
  </r>
  <r>
    <x v="15"/>
    <x v="6"/>
    <x v="10"/>
    <x v="8"/>
    <n v="3"/>
  </r>
  <r>
    <x v="16"/>
    <x v="6"/>
    <x v="11"/>
    <x v="9"/>
    <n v="2.1"/>
  </r>
  <r>
    <x v="17"/>
    <x v="13"/>
    <x v="9"/>
    <x v="9"/>
    <n v="2.9"/>
  </r>
  <r>
    <x v="18"/>
    <x v="14"/>
    <x v="12"/>
    <x v="10"/>
    <n v="3.2"/>
  </r>
  <r>
    <x v="19"/>
    <x v="15"/>
    <x v="10"/>
    <x v="10"/>
    <n v="3.2"/>
  </r>
  <r>
    <x v="20"/>
    <x v="8"/>
    <x v="13"/>
    <x v="10"/>
    <n v="3.2"/>
  </r>
  <r>
    <x v="21"/>
    <x v="16"/>
    <x v="10"/>
    <x v="10"/>
    <n v="3.3"/>
  </r>
  <r>
    <x v="22"/>
    <x v="17"/>
    <x v="12"/>
    <x v="11"/>
    <n v="3"/>
  </r>
  <r>
    <x v="23"/>
    <x v="18"/>
    <x v="10"/>
    <x v="11"/>
    <n v="3"/>
  </r>
  <r>
    <x v="24"/>
    <x v="9"/>
    <x v="13"/>
    <x v="11"/>
    <n v="3.3"/>
  </r>
  <r>
    <x v="25"/>
    <x v="19"/>
    <x v="14"/>
    <x v="12"/>
    <n v="3"/>
  </r>
  <r>
    <x v="26"/>
    <x v="20"/>
    <x v="15"/>
    <x v="13"/>
    <n v="2.9"/>
  </r>
  <r>
    <x v="27"/>
    <x v="21"/>
    <x v="15"/>
    <x v="13"/>
    <n v="3.3"/>
  </r>
  <r>
    <x v="28"/>
    <x v="22"/>
    <x v="16"/>
    <x v="14"/>
    <n v="3.4"/>
  </r>
  <r>
    <x v="29"/>
    <x v="23"/>
    <x v="17"/>
    <x v="14"/>
    <n v="3.5"/>
  </r>
  <r>
    <x v="30"/>
    <x v="24"/>
    <x v="18"/>
    <x v="14"/>
    <n v="3.7"/>
  </r>
  <r>
    <x v="31"/>
    <x v="25"/>
    <x v="16"/>
    <x v="15"/>
    <n v="3.2"/>
  </r>
  <r>
    <x v="32"/>
    <x v="26"/>
    <x v="19"/>
    <x v="15"/>
    <n v="3.9"/>
  </r>
  <r>
    <x v="33"/>
    <x v="27"/>
    <x v="11"/>
    <x v="16"/>
    <n v="3.7"/>
  </r>
  <r>
    <x v="34"/>
    <x v="28"/>
    <x v="18"/>
    <x v="16"/>
    <n v="3.9"/>
  </r>
  <r>
    <x v="35"/>
    <x v="29"/>
    <x v="19"/>
    <x v="16"/>
    <n v="3.9"/>
  </r>
  <r>
    <x v="36"/>
    <x v="30"/>
    <x v="20"/>
    <x v="16"/>
    <n v="4.4000000000000004"/>
  </r>
  <r>
    <x v="37"/>
    <x v="29"/>
    <x v="19"/>
    <x v="17"/>
    <n v="3.5"/>
  </r>
  <r>
    <x v="38"/>
    <x v="15"/>
    <x v="15"/>
    <x v="17"/>
    <n v="4.2"/>
  </r>
  <r>
    <x v="39"/>
    <x v="31"/>
    <x v="21"/>
    <x v="18"/>
    <n v="3.4"/>
  </r>
  <r>
    <x v="40"/>
    <x v="25"/>
    <x v="22"/>
    <x v="18"/>
    <n v="3.8"/>
  </r>
  <r>
    <x v="41"/>
    <x v="32"/>
    <x v="23"/>
    <x v="18"/>
    <n v="3.8"/>
  </r>
  <r>
    <x v="42"/>
    <x v="33"/>
    <x v="24"/>
    <x v="18"/>
    <n v="3.9"/>
  </r>
  <r>
    <x v="43"/>
    <x v="34"/>
    <x v="11"/>
    <x v="18"/>
    <n v="4.0999999999999996"/>
  </r>
  <r>
    <x v="44"/>
    <x v="35"/>
    <x v="22"/>
    <x v="19"/>
    <n v="4.2"/>
  </r>
  <r>
    <x v="45"/>
    <x v="36"/>
    <x v="12"/>
    <x v="20"/>
    <n v="4"/>
  </r>
  <r>
    <x v="46"/>
    <x v="37"/>
    <x v="23"/>
    <x v="20"/>
    <n v="4.2"/>
  </r>
  <r>
    <x v="47"/>
    <x v="38"/>
    <x v="25"/>
    <x v="20"/>
    <n v="4.8"/>
  </r>
  <r>
    <x v="48"/>
    <x v="22"/>
    <x v="26"/>
    <x v="21"/>
    <n v="4.5"/>
  </r>
  <r>
    <x v="49"/>
    <x v="32"/>
    <x v="27"/>
    <x v="22"/>
    <n v="4.9000000000000004"/>
  </r>
  <r>
    <x v="50"/>
    <x v="39"/>
    <x v="27"/>
    <x v="23"/>
    <n v="5.099999999999999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x v="0"/>
    <n v="49936"/>
    <n v="56598"/>
    <n v="67953"/>
    <n v="77419"/>
    <n v="94659"/>
  </r>
  <r>
    <x v="1"/>
    <x v="1"/>
    <n v="68734"/>
    <n v="76191"/>
    <n v="89932"/>
    <n v="113035"/>
    <n v="121062"/>
  </r>
  <r>
    <x v="2"/>
    <x v="2"/>
    <n v="62283"/>
    <n v="64172"/>
    <n v="80249"/>
    <n v="90193"/>
    <n v="104143"/>
  </r>
  <r>
    <x v="3"/>
    <x v="3"/>
    <n v="49781"/>
    <n v="51164"/>
    <n v="63835"/>
    <n v="74475"/>
    <n v="86039"/>
  </r>
  <r>
    <x v="4"/>
    <x v="4"/>
    <n v="70489"/>
    <n v="75235"/>
    <n v="93175"/>
    <n v="104785"/>
    <n v="122707"/>
  </r>
  <r>
    <x v="5"/>
    <x v="5"/>
    <n v="73034"/>
    <n v="75710"/>
    <n v="98365"/>
    <n v="113822"/>
    <n v="134146"/>
  </r>
  <r>
    <x v="6"/>
    <x v="6"/>
    <n v="72812"/>
    <n v="81909"/>
    <n v="100639"/>
    <n v="121958"/>
    <n v="142596"/>
  </r>
  <r>
    <x v="7"/>
    <x v="7"/>
    <n v="65012"/>
    <n v="71279"/>
    <n v="83174"/>
    <n v="103598"/>
    <n v="122908"/>
  </r>
  <r>
    <x v="8"/>
    <x v="8"/>
    <n v="85750"/>
    <n v="86370"/>
    <n v="146440"/>
    <n v="146440"/>
    <n v="204686"/>
  </r>
  <r>
    <x v="9"/>
    <x v="9"/>
    <n v="54644"/>
    <n v="60429"/>
    <n v="74131"/>
    <n v="83396"/>
    <n v="100476"/>
  </r>
  <r>
    <x v="10"/>
    <x v="10"/>
    <n v="55821"/>
    <n v="60490"/>
    <n v="77183"/>
    <n v="87742"/>
    <n v="103638"/>
  </r>
  <r>
    <x v="11"/>
    <x v="11"/>
    <n v="80108"/>
    <n v="78788"/>
    <n v="92578"/>
    <n v="104704"/>
    <n v="125621"/>
  </r>
  <r>
    <x v="12"/>
    <x v="12"/>
    <n v="58728"/>
    <n v="62738"/>
    <n v="77719"/>
    <n v="87960"/>
    <n v="97212"/>
  </r>
  <r>
    <x v="13"/>
    <x v="13"/>
    <n v="70145"/>
    <n v="67102"/>
    <n v="84892"/>
    <n v="101951"/>
    <n v="122289"/>
  </r>
  <r>
    <x v="14"/>
    <x v="14"/>
    <n v="59892"/>
    <n v="60725"/>
    <n v="75774"/>
    <n v="89800"/>
    <n v="102605"/>
  </r>
  <r>
    <x v="15"/>
    <x v="15"/>
    <n v="63938"/>
    <n v="61158"/>
    <n v="79752"/>
    <n v="88271"/>
    <n v="113151"/>
  </r>
  <r>
    <x v="16"/>
    <x v="16"/>
    <n v="54555"/>
    <n v="55971"/>
    <n v="66902"/>
    <n v="75700"/>
    <n v="94937"/>
  </r>
  <r>
    <x v="17"/>
    <x v="17"/>
    <n v="49973"/>
    <n v="53028"/>
    <n v="64762"/>
    <n v="73393"/>
    <n v="91366"/>
  </r>
  <r>
    <x v="18"/>
    <x v="18"/>
    <n v="58663"/>
    <n v="61440"/>
    <n v="79014"/>
    <n v="95531"/>
    <n v="119122"/>
  </r>
  <r>
    <x v="19"/>
    <x v="19"/>
    <n v="86223"/>
    <n v="80002"/>
    <n v="103083"/>
    <n v="122385"/>
    <n v="151613"/>
  </r>
  <r>
    <x v="20"/>
    <x v="20"/>
    <n v="86345"/>
    <n v="80467"/>
    <n v="100535"/>
    <n v="127172"/>
    <n v="162422"/>
  </r>
  <r>
    <x v="21"/>
    <x v="21"/>
    <n v="60449"/>
    <n v="63380"/>
    <n v="75374"/>
    <n v="93873"/>
    <n v="111606"/>
  </r>
  <r>
    <x v="22"/>
    <x v="22"/>
    <n v="71817"/>
    <n v="71643"/>
    <n v="90946"/>
    <n v="114267"/>
    <n v="141324"/>
  </r>
  <r>
    <x v="23"/>
    <x v="23"/>
    <n v="42781"/>
    <n v="48603"/>
    <n v="60981"/>
    <n v="70950"/>
    <n v="86573"/>
  </r>
  <r>
    <x v="24"/>
    <x v="24"/>
    <n v="61726"/>
    <n v="61165"/>
    <n v="75277"/>
    <n v="89515"/>
    <n v="109302"/>
  </r>
  <r>
    <x v="25"/>
    <x v="25"/>
    <n v="57679"/>
    <n v="64836"/>
    <n v="77872"/>
    <n v="84019"/>
    <n v="109438"/>
  </r>
  <r>
    <x v="26"/>
    <x v="26"/>
    <n v="67575"/>
    <n v="65223"/>
    <n v="83790"/>
    <n v="99845"/>
    <n v="115269"/>
  </r>
  <r>
    <x v="27"/>
    <x v="27"/>
    <n v="61864"/>
    <n v="63473"/>
    <n v="75983"/>
    <n v="86618"/>
    <n v="95950"/>
  </r>
  <r>
    <x v="28"/>
    <x v="28"/>
    <n v="81346"/>
    <n v="83877"/>
    <n v="98248"/>
    <n v="136886"/>
    <n v="151546"/>
  </r>
  <r>
    <x v="29"/>
    <x v="29"/>
    <n v="74176"/>
    <n v="83898"/>
    <n v="99056"/>
    <n v="122540"/>
    <n v="155510"/>
  </r>
  <r>
    <x v="30"/>
    <x v="30"/>
    <n v="48283"/>
    <n v="54193"/>
    <n v="69208"/>
    <n v="71283"/>
    <n v="82110"/>
  </r>
  <r>
    <x v="31"/>
    <x v="31"/>
    <n v="67274"/>
    <n v="68814"/>
    <n v="84958"/>
    <n v="103444"/>
    <n v="126167"/>
  </r>
  <r>
    <x v="32"/>
    <x v="32"/>
    <n v="53369"/>
    <n v="60072"/>
    <n v="74849"/>
    <n v="87369"/>
    <n v="107128"/>
  </r>
  <r>
    <x v="33"/>
    <x v="33"/>
    <n v="66505"/>
    <n v="70125"/>
    <n v="90049"/>
    <n v="93240"/>
    <n v="124290"/>
  </r>
  <r>
    <x v="34"/>
    <x v="34"/>
    <n v="61633"/>
    <n v="61955"/>
    <n v="76131"/>
    <n v="90912"/>
    <n v="110062"/>
  </r>
  <r>
    <x v="35"/>
    <x v="35"/>
    <n v="54434"/>
    <n v="55358"/>
    <n v="69182"/>
    <n v="77166"/>
    <n v="90043"/>
  </r>
  <r>
    <x v="36"/>
    <x v="36"/>
    <n v="69165"/>
    <n v="69653"/>
    <n v="84418"/>
    <n v="101989"/>
    <n v="118493"/>
  </r>
  <r>
    <x v="37"/>
    <x v="37"/>
    <n v="64524"/>
    <n v="66454"/>
    <n v="80321"/>
    <n v="100888"/>
    <n v="122083"/>
  </r>
  <r>
    <x v="38"/>
    <x v="38"/>
    <n v="62266"/>
    <n v="70858"/>
    <n v="90196"/>
    <n v="109514"/>
    <n v="130123"/>
  </r>
  <r>
    <x v="39"/>
    <x v="39"/>
    <n v="57444"/>
    <n v="59511"/>
    <n v="72416"/>
    <n v="82114"/>
    <n v="100609"/>
  </r>
  <r>
    <x v="40"/>
    <x v="40"/>
    <n v="59463"/>
    <n v="57253"/>
    <n v="82039"/>
    <n v="92794"/>
    <n v="104379"/>
  </r>
  <r>
    <x v="41"/>
    <x v="41"/>
    <n v="56060"/>
    <n v="57246"/>
    <n v="71828"/>
    <n v="85014"/>
    <n v="95796"/>
  </r>
  <r>
    <x v="42"/>
    <x v="42"/>
    <n v="59785"/>
    <n v="60040"/>
    <n v="77611"/>
    <n v="87228"/>
    <n v="101753"/>
  </r>
  <r>
    <x v="43"/>
    <x v="43"/>
    <n v="68718"/>
    <n v="60971"/>
    <n v="81351"/>
    <n v="95739"/>
    <n v="115320"/>
  </r>
  <r>
    <x v="44"/>
    <x v="44"/>
    <n v="77067"/>
    <n v="72772"/>
    <n v="81900"/>
    <n v="102941"/>
    <n v="111065"/>
  </r>
  <r>
    <x v="45"/>
    <x v="45"/>
    <n v="70066"/>
    <n v="69936"/>
    <n v="86394"/>
    <n v="103763"/>
    <n v="126550"/>
  </r>
  <r>
    <x v="46"/>
    <x v="46"/>
    <n v="77151"/>
    <n v="75376"/>
    <n v="93328"/>
    <n v="111017"/>
    <n v="134252"/>
  </r>
  <r>
    <x v="47"/>
    <x v="47"/>
    <n v="79726"/>
    <n v="83121"/>
    <n v="96890"/>
    <n v="116345"/>
    <n v="138487"/>
  </r>
  <r>
    <x v="48"/>
    <x v="48"/>
    <n v="50573"/>
    <n v="56420"/>
    <n v="62974"/>
    <n v="81964"/>
    <n v="90258"/>
  </r>
  <r>
    <x v="49"/>
    <x v="49"/>
    <n v="62629"/>
    <n v="63146"/>
    <n v="81854"/>
    <n v="99261"/>
    <n v="118441"/>
  </r>
  <r>
    <x v="50"/>
    <x v="50"/>
    <n v="62539"/>
    <n v="65457"/>
    <n v="82531"/>
    <n v="93651"/>
    <n v="1044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77EC90-D293-B64A-B12B-942F98FF13FD}" name="PivotTable11"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State">
  <location ref="F5:I6" firstHeaderRow="0" firstDataRow="1" firstDataCol="1"/>
  <pivotFields count="7">
    <pivotField axis="axisRow" showAll="0">
      <items count="52">
        <item h="1" x="0"/>
        <item h="1" x="1"/>
        <item h="1" x="2"/>
        <item h="1" x="3"/>
        <item h="1" x="4"/>
        <item h="1" x="5"/>
        <item h="1" x="6"/>
        <item h="1" x="7"/>
        <item h="1" x="8"/>
        <item h="1" x="9"/>
        <item h="1" x="10"/>
        <item h="1" x="11"/>
        <item h="1" x="12"/>
        <item h="1" x="13"/>
        <item h="1" x="14"/>
        <item h="1" x="43"/>
        <item h="1" x="15"/>
        <item h="1" x="16"/>
        <item h="1" x="17"/>
        <item h="1" x="18"/>
        <item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4"/>
        <item h="1" x="45"/>
        <item h="1" x="46"/>
        <item h="1" x="47"/>
        <item h="1" x="48"/>
        <item h="1" x="49"/>
        <item h="1" x="50"/>
        <item t="default"/>
      </items>
    </pivotField>
    <pivotField dataField="1" numFmtId="166" showAll="0">
      <items count="52">
        <item x="23"/>
        <item x="3"/>
        <item x="17"/>
        <item x="16"/>
        <item x="32"/>
        <item x="41"/>
        <item x="30"/>
        <item x="0"/>
        <item x="48"/>
        <item x="34"/>
        <item x="39"/>
        <item x="25"/>
        <item x="9"/>
        <item x="14"/>
        <item x="2"/>
        <item x="27"/>
        <item x="31"/>
        <item x="12"/>
        <item x="10"/>
        <item x="35"/>
        <item x="7"/>
        <item x="18"/>
        <item x="40"/>
        <item x="24"/>
        <item x="15"/>
        <item x="21"/>
        <item x="13"/>
        <item x="36"/>
        <item x="37"/>
        <item x="42"/>
        <item x="26"/>
        <item x="49"/>
        <item x="43"/>
        <item x="45"/>
        <item x="33"/>
        <item x="38"/>
        <item x="11"/>
        <item x="4"/>
        <item x="5"/>
        <item x="50"/>
        <item x="44"/>
        <item x="22"/>
        <item x="47"/>
        <item x="1"/>
        <item x="20"/>
        <item x="6"/>
        <item x="46"/>
        <item x="8"/>
        <item x="29"/>
        <item x="28"/>
        <item x="19"/>
        <item t="default"/>
      </items>
    </pivotField>
    <pivotField dataField="1" numFmtId="166" showAll="0"/>
    <pivotField dataField="1" numFmtId="166" showAll="0"/>
    <pivotField numFmtId="166" showAll="0"/>
    <pivotField numFmtId="166" showAll="0"/>
    <pivotField numFmtId="166" showAll="0"/>
  </pivotFields>
  <rowFields count="1">
    <field x="0"/>
  </rowFields>
  <rowItems count="1">
    <i>
      <x v="20"/>
    </i>
  </rowItems>
  <colFields count="1">
    <field x="-2"/>
  </colFields>
  <colItems count="3">
    <i>
      <x/>
    </i>
    <i i="1">
      <x v="1"/>
    </i>
    <i i="2">
      <x v="2"/>
    </i>
  </colItems>
  <dataFields count="3">
    <dataField name="2012 Income" fld="1" subtotal="average" baseField="0" baseItem="0" numFmtId="166"/>
    <dataField name="2018 Income" fld="2" subtotal="average" baseField="0" baseItem="0" numFmtId="166"/>
    <dataField name="2023 Income" fld="3" subtotal="average" baseField="0" baseItem="0" numFmtId="166"/>
  </dataFields>
  <formats count="22">
    <format dxfId="72">
      <pivotArea field="0" type="button" dataOnly="0" labelOnly="1" outline="0" axis="axisRow" fieldPosition="0"/>
    </format>
    <format dxfId="71">
      <pivotArea dataOnly="0" labelOnly="1" outline="0" fieldPosition="0">
        <references count="1">
          <reference field="4294967294" count="3">
            <x v="0"/>
            <x v="1"/>
            <x v="2"/>
          </reference>
        </references>
      </pivotArea>
    </format>
    <format dxfId="70">
      <pivotArea field="0" type="button" dataOnly="0" labelOnly="1" outline="0" axis="axisRow" fieldPosition="0"/>
    </format>
    <format dxfId="69">
      <pivotArea dataOnly="0" labelOnly="1" outline="0" fieldPosition="0">
        <references count="1">
          <reference field="4294967294" count="3">
            <x v="0"/>
            <x v="1"/>
            <x v="2"/>
          </reference>
        </references>
      </pivotArea>
    </format>
    <format dxfId="68">
      <pivotArea field="0" type="button" dataOnly="0" labelOnly="1" outline="0" axis="axisRow" fieldPosition="0"/>
    </format>
    <format dxfId="67">
      <pivotArea dataOnly="0" labelOnly="1" outline="0" fieldPosition="0">
        <references count="1">
          <reference field="4294967294" count="3">
            <x v="0"/>
            <x v="1"/>
            <x v="2"/>
          </reference>
        </references>
      </pivotArea>
    </format>
    <format dxfId="66">
      <pivotArea type="all" dataOnly="0" outline="0" fieldPosition="0"/>
    </format>
    <format dxfId="65">
      <pivotArea outline="0" collapsedLevelsAreSubtotals="1" fieldPosition="0"/>
    </format>
    <format dxfId="64">
      <pivotArea field="0" type="button" dataOnly="0" labelOnly="1" outline="0" axis="axisRow" fieldPosition="0"/>
    </format>
    <format dxfId="63">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62">
      <pivotArea dataOnly="0" labelOnly="1" fieldPosition="0">
        <references count="1">
          <reference field="0" count="1">
            <x v="50"/>
          </reference>
        </references>
      </pivotArea>
    </format>
    <format dxfId="61">
      <pivotArea dataOnly="0" labelOnly="1" outline="0" fieldPosition="0">
        <references count="1">
          <reference field="4294967294" count="3">
            <x v="0"/>
            <x v="1"/>
            <x v="2"/>
          </reference>
        </references>
      </pivotArea>
    </format>
    <format dxfId="60">
      <pivotArea type="all" dataOnly="0" outline="0" fieldPosition="0"/>
    </format>
    <format dxfId="59">
      <pivotArea outline="0" collapsedLevelsAreSubtotals="1" fieldPosition="0"/>
    </format>
    <format dxfId="58">
      <pivotArea dataOnly="0" labelOnly="1" fieldPosition="0">
        <references count="1">
          <reference field="0" count="0"/>
        </references>
      </pivotArea>
    </format>
    <format dxfId="57">
      <pivotArea type="all" dataOnly="0" outline="0" fieldPosition="0"/>
    </format>
    <format dxfId="56">
      <pivotArea outline="0" collapsedLevelsAreSubtotals="1" fieldPosition="0"/>
    </format>
    <format dxfId="55">
      <pivotArea dataOnly="0" labelOnly="1" fieldPosition="0">
        <references count="1">
          <reference field="0" count="0"/>
        </references>
      </pivotArea>
    </format>
    <format dxfId="54">
      <pivotArea field="0" type="button" dataOnly="0" labelOnly="1" outline="0" axis="axisRow" fieldPosition="0"/>
    </format>
    <format dxfId="53">
      <pivotArea dataOnly="0" labelOnly="1" outline="0" fieldPosition="0">
        <references count="1">
          <reference field="4294967294" count="3">
            <x v="0"/>
            <x v="1"/>
            <x v="2"/>
          </reference>
        </references>
      </pivotArea>
    </format>
    <format dxfId="52">
      <pivotArea field="0" type="button" dataOnly="0" labelOnly="1" outline="0" axis="axisRow" fieldPosition="0"/>
    </format>
    <format dxfId="51">
      <pivotArea dataOnly="0" labelOnly="1" outline="0" fieldPosition="0">
        <references count="1">
          <reference field="4294967294" count="3">
            <x v="0"/>
            <x v="1"/>
            <x v="2"/>
          </reference>
        </references>
      </pivotArea>
    </format>
  </formats>
  <chartFormats count="3">
    <chartFormat chart="2" format="10" series="1">
      <pivotArea type="data" outline="0" fieldPosition="0">
        <references count="1">
          <reference field="4294967294" count="1" selected="0">
            <x v="0"/>
          </reference>
        </references>
      </pivotArea>
    </chartFormat>
    <chartFormat chart="2" format="11" series="1">
      <pivotArea type="data" outline="0" fieldPosition="0">
        <references count="1">
          <reference field="4294967294" count="1" selected="0">
            <x v="1"/>
          </reference>
        </references>
      </pivotArea>
    </chartFormat>
    <chartFormat chart="2" format="1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A68001E-1A01-FB4D-8EC9-48B320AD9E13}" name="Unemp_Rate" cacheId="6" applyNumberFormats="0" applyBorderFormats="0" applyFontFormats="0" applyPatternFormats="0" applyAlignmentFormats="0" applyWidthHeightFormats="1" dataCaption="Values" grandTotalCaption="United States" updatedVersion="8" minRefreshableVersion="3" useAutoFormatting="1" rowGrandTotals="0" colGrandTotals="0" itemPrintTitles="1" createdVersion="8" indent="0" outline="1" outlineData="1" multipleFieldFilters="0" chartFormat="9" rowHeaderCaption="State">
  <location ref="F5:J8" firstHeaderRow="0" firstDataRow="1" firstDataCol="1"/>
  <pivotFields count="5">
    <pivotField axis="axisRow" showAll="0">
      <items count="52">
        <item h="1" x="6"/>
        <item h="1" x="44"/>
        <item h="1" x="32"/>
        <item h="1" x="24"/>
        <item h="1" x="47"/>
        <item h="1" x="18"/>
        <item x="40"/>
        <item x="45"/>
        <item h="1" x="49"/>
        <item h="1" x="17"/>
        <item h="1" x="19"/>
        <item h="1" x="25"/>
        <item h="1" x="14"/>
        <item x="48"/>
        <item h="1" x="21"/>
        <item h="1" x="11"/>
        <item h="1" x="7"/>
        <item h="1" x="38"/>
        <item h="1" x="30"/>
        <item h="1" x="12"/>
        <item h="1" x="16"/>
        <item h="1" x="28"/>
        <item h="1" x="42"/>
        <item h="1" x="8"/>
        <item h="1" x="31"/>
        <item h="1" x="9"/>
        <item h="1" x="10"/>
        <item h="1" x="2"/>
        <item h="1" x="50"/>
        <item h="1" x="4"/>
        <item h="1" x="36"/>
        <item h="1" x="41"/>
        <item h="1" x="46"/>
        <item h="1" x="29"/>
        <item h="1" x="0"/>
        <item h="1" x="37"/>
        <item h="1" x="20"/>
        <item h="1" x="33"/>
        <item h="1" x="39"/>
        <item h="1" x="22"/>
        <item h="1" x="23"/>
        <item h="1" x="1"/>
        <item h="1" x="27"/>
        <item h="1" x="34"/>
        <item h="1" x="5"/>
        <item h="1" x="3"/>
        <item h="1" x="13"/>
        <item h="1" x="43"/>
        <item h="1" x="35"/>
        <item h="1" x="15"/>
        <item h="1" x="26"/>
        <item t="default"/>
      </items>
    </pivotField>
    <pivotField dataField="1" showAll="0">
      <items count="41">
        <item x="1"/>
        <item x="2"/>
        <item x="5"/>
        <item x="0"/>
        <item x="11"/>
        <item x="10"/>
        <item x="12"/>
        <item x="3"/>
        <item x="7"/>
        <item x="20"/>
        <item x="18"/>
        <item x="9"/>
        <item x="8"/>
        <item x="6"/>
        <item x="15"/>
        <item x="4"/>
        <item x="14"/>
        <item x="23"/>
        <item x="16"/>
        <item x="21"/>
        <item x="36"/>
        <item x="27"/>
        <item x="28"/>
        <item x="26"/>
        <item x="32"/>
        <item x="25"/>
        <item x="13"/>
        <item x="29"/>
        <item x="35"/>
        <item x="34"/>
        <item x="24"/>
        <item x="31"/>
        <item x="17"/>
        <item x="22"/>
        <item x="30"/>
        <item x="37"/>
        <item x="33"/>
        <item x="38"/>
        <item x="19"/>
        <item x="39"/>
        <item t="default"/>
      </items>
    </pivotField>
    <pivotField dataField="1" showAll="0">
      <items count="29">
        <item x="1"/>
        <item x="4"/>
        <item x="0"/>
        <item x="5"/>
        <item x="3"/>
        <item x="2"/>
        <item x="6"/>
        <item x="8"/>
        <item x="10"/>
        <item x="13"/>
        <item x="7"/>
        <item x="15"/>
        <item x="9"/>
        <item x="17"/>
        <item x="19"/>
        <item x="11"/>
        <item x="16"/>
        <item x="12"/>
        <item x="18"/>
        <item x="24"/>
        <item x="21"/>
        <item x="14"/>
        <item x="26"/>
        <item x="22"/>
        <item x="20"/>
        <item x="27"/>
        <item x="23"/>
        <item x="25"/>
        <item t="default"/>
      </items>
    </pivotField>
    <pivotField dataField="1" showAll="0">
      <items count="25">
        <item x="0"/>
        <item x="1"/>
        <item x="2"/>
        <item x="3"/>
        <item x="4"/>
        <item x="5"/>
        <item x="6"/>
        <item x="7"/>
        <item x="8"/>
        <item x="9"/>
        <item x="10"/>
        <item x="11"/>
        <item x="12"/>
        <item x="13"/>
        <item x="14"/>
        <item x="15"/>
        <item x="16"/>
        <item x="17"/>
        <item x="18"/>
        <item x="19"/>
        <item x="20"/>
        <item x="21"/>
        <item x="22"/>
        <item x="23"/>
        <item t="default"/>
      </items>
    </pivotField>
    <pivotField dataField="1" showAll="0"/>
  </pivotFields>
  <rowFields count="1">
    <field x="0"/>
  </rowFields>
  <rowItems count="3">
    <i>
      <x v="6"/>
    </i>
    <i>
      <x v="7"/>
    </i>
    <i>
      <x v="13"/>
    </i>
  </rowItems>
  <colFields count="1">
    <field x="-2"/>
  </colFields>
  <colItems count="4">
    <i>
      <x/>
    </i>
    <i i="1">
      <x v="1"/>
    </i>
    <i i="2">
      <x v="2"/>
    </i>
    <i i="3">
      <x v="3"/>
    </i>
  </colItems>
  <dataFields count="4">
    <dataField name="2020 Rate" fld="1" subtotal="average" baseField="0" baseItem="0" numFmtId="2"/>
    <dataField name="2021 Rate" fld="2" subtotal="average" baseField="0" baseItem="0" numFmtId="2"/>
    <dataField name="2022 Rate" fld="3" subtotal="average" baseField="0" baseItem="0" numFmtId="2"/>
    <dataField name="2023 Rate" fld="4" subtotal="average" baseField="0" baseItem="0" numFmtId="2"/>
  </dataFields>
  <formats count="21">
    <format dxfId="50">
      <pivotArea field="0" type="button" dataOnly="0" labelOnly="1" outline="0" axis="axisRow" fieldPosition="0"/>
    </format>
    <format dxfId="49">
      <pivotArea dataOnly="0" labelOnly="1" outline="0" fieldPosition="0">
        <references count="1">
          <reference field="4294967294" count="4">
            <x v="0"/>
            <x v="1"/>
            <x v="2"/>
            <x v="3"/>
          </reference>
        </references>
      </pivotArea>
    </format>
    <format dxfId="48">
      <pivotArea type="all" dataOnly="0" outline="0" fieldPosition="0"/>
    </format>
    <format dxfId="47">
      <pivotArea outline="0" collapsedLevelsAreSubtotals="1" fieldPosition="0"/>
    </format>
    <format dxfId="46">
      <pivotArea field="0" type="button" dataOnly="0" labelOnly="1" outline="0" axis="axisRow" fieldPosition="0"/>
    </format>
    <format dxfId="45">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4">
      <pivotArea dataOnly="0" labelOnly="1" fieldPosition="0">
        <references count="1">
          <reference field="0" count="1">
            <x v="50"/>
          </reference>
        </references>
      </pivotArea>
    </format>
    <format dxfId="43">
      <pivotArea dataOnly="0" labelOnly="1" outline="0" fieldPosition="0">
        <references count="1">
          <reference field="4294967294" count="4">
            <x v="0"/>
            <x v="1"/>
            <x v="2"/>
            <x v="3"/>
          </reference>
        </references>
      </pivotArea>
    </format>
    <format dxfId="42">
      <pivotArea type="all" dataOnly="0" outline="0" fieldPosition="0"/>
    </format>
    <format dxfId="41">
      <pivotArea outline="0" collapsedLevelsAreSubtotals="1" fieldPosition="0"/>
    </format>
    <format dxfId="40">
      <pivotArea field="0" type="button" dataOnly="0" labelOnly="1" outline="0" axis="axisRow" fieldPosition="0"/>
    </format>
    <format dxfId="39">
      <pivotArea dataOnly="0" labelOnly="1" fieldPosition="0">
        <references count="1">
          <reference field="0" count="0"/>
        </references>
      </pivotArea>
    </format>
    <format dxfId="38">
      <pivotArea dataOnly="0" labelOnly="1" outline="0" fieldPosition="0">
        <references count="1">
          <reference field="4294967294" count="4">
            <x v="0"/>
            <x v="1"/>
            <x v="2"/>
            <x v="3"/>
          </reference>
        </references>
      </pivotArea>
    </format>
    <format dxfId="37">
      <pivotArea field="0" type="button" dataOnly="0" labelOnly="1" outline="0" axis="axisRow" fieldPosition="0"/>
    </format>
    <format dxfId="36">
      <pivotArea dataOnly="0" labelOnly="1" outline="0" fieldPosition="0">
        <references count="1">
          <reference field="4294967294" count="4">
            <x v="0"/>
            <x v="1"/>
            <x v="2"/>
            <x v="3"/>
          </reference>
        </references>
      </pivotArea>
    </format>
    <format dxfId="35">
      <pivotArea field="0" type="button" dataOnly="0" labelOnly="1" outline="0" axis="axisRow" fieldPosition="0"/>
    </format>
    <format dxfId="34">
      <pivotArea dataOnly="0" labelOnly="1" outline="0" fieldPosition="0">
        <references count="1">
          <reference field="4294967294" count="4">
            <x v="0"/>
            <x v="1"/>
            <x v="2"/>
            <x v="3"/>
          </reference>
        </references>
      </pivotArea>
    </format>
    <format dxfId="33">
      <pivotArea field="0" type="button" dataOnly="0" labelOnly="1" outline="0" axis="axisRow" fieldPosition="0"/>
    </format>
    <format dxfId="32">
      <pivotArea dataOnly="0" labelOnly="1" outline="0" fieldPosition="0">
        <references count="1">
          <reference field="4294967294" count="4">
            <x v="0"/>
            <x v="1"/>
            <x v="2"/>
            <x v="3"/>
          </reference>
        </references>
      </pivotArea>
    </format>
    <format dxfId="31">
      <pivotArea field="0" type="button" dataOnly="0" labelOnly="1" outline="0" axis="axisRow" fieldPosition="0"/>
    </format>
    <format dxfId="30">
      <pivotArea dataOnly="0" labelOnly="1" outline="0" fieldPosition="0">
        <references count="1">
          <reference field="4294967294" count="4">
            <x v="0"/>
            <x v="1"/>
            <x v="2"/>
            <x v="3"/>
          </reference>
        </references>
      </pivotArea>
    </format>
  </formats>
  <chartFormats count="4">
    <chartFormat chart="5" format="132" series="1">
      <pivotArea type="data" outline="0" fieldPosition="0">
        <references count="1">
          <reference field="4294967294" count="1" selected="0">
            <x v="0"/>
          </reference>
        </references>
      </pivotArea>
    </chartFormat>
    <chartFormat chart="5" format="133" series="1">
      <pivotArea type="data" outline="0" fieldPosition="0">
        <references count="1">
          <reference field="4294967294" count="1" selected="0">
            <x v="1"/>
          </reference>
        </references>
      </pivotArea>
    </chartFormat>
    <chartFormat chart="5" format="134" series="1">
      <pivotArea type="data" outline="0" fieldPosition="0">
        <references count="1">
          <reference field="4294967294" count="1" selected="0">
            <x v="2"/>
          </reference>
        </references>
      </pivotArea>
    </chartFormat>
    <chartFormat chart="5" format="13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1" xr10:uid="{E257E46D-FFDC-9046-A8DF-427902F5A219}" sourceName="State">
  <pivotTables>
    <pivotTable tabId="21" name="Unemp_Rate"/>
  </pivotTables>
  <data>
    <tabular pivotCacheId="78252555">
      <items count="51">
        <i x="6"/>
        <i x="44"/>
        <i x="32"/>
        <i x="24"/>
        <i x="47"/>
        <i x="18"/>
        <i x="40" s="1"/>
        <i x="45" s="1"/>
        <i x="49"/>
        <i x="17"/>
        <i x="19"/>
        <i x="25"/>
        <i x="14"/>
        <i x="48" s="1"/>
        <i x="21"/>
        <i x="11"/>
        <i x="7"/>
        <i x="38"/>
        <i x="30"/>
        <i x="12"/>
        <i x="16"/>
        <i x="28"/>
        <i x="42"/>
        <i x="8"/>
        <i x="31"/>
        <i x="9"/>
        <i x="10"/>
        <i x="2"/>
        <i x="50"/>
        <i x="4"/>
        <i x="36"/>
        <i x="41"/>
        <i x="46"/>
        <i x="29"/>
        <i x="0"/>
        <i x="37"/>
        <i x="20"/>
        <i x="33"/>
        <i x="39"/>
        <i x="22"/>
        <i x="23"/>
        <i x="1"/>
        <i x="27"/>
        <i x="34"/>
        <i x="5"/>
        <i x="3"/>
        <i x="13"/>
        <i x="43"/>
        <i x="35"/>
        <i x="15"/>
        <i x="26"/>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s" xr10:uid="{EB05F7E2-8BC9-435E-BB82-182DFCFCEE81}" sourceName="States">
  <pivotTables>
    <pivotTable tabId="22" name="PivotTable11"/>
  </pivotTables>
  <data>
    <tabular pivotCacheId="638214353">
      <items count="51">
        <i x="0"/>
        <i x="1"/>
        <i x="2"/>
        <i x="3"/>
        <i x="4"/>
        <i x="5"/>
        <i x="6"/>
        <i x="7"/>
        <i x="8"/>
        <i x="9"/>
        <i x="10"/>
        <i x="11"/>
        <i x="12"/>
        <i x="13"/>
        <i x="14"/>
        <i x="43"/>
        <i x="15"/>
        <i x="16"/>
        <i x="17"/>
        <i x="18"/>
        <i x="19" s="1"/>
        <i x="20"/>
        <i x="21"/>
        <i x="22"/>
        <i x="23"/>
        <i x="24"/>
        <i x="25"/>
        <i x="26"/>
        <i x="27"/>
        <i x="28"/>
        <i x="29"/>
        <i x="30"/>
        <i x="31"/>
        <i x="32"/>
        <i x="33"/>
        <i x="34"/>
        <i x="35"/>
        <i x="36"/>
        <i x="37"/>
        <i x="38"/>
        <i x="39"/>
        <i x="40"/>
        <i x="41"/>
        <i x="42"/>
        <i x="44"/>
        <i x="45"/>
        <i x="46"/>
        <i x="47"/>
        <i x="48"/>
        <i x="49"/>
        <i x="5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come_Slicer" xr10:uid="{062B5EB7-7CAC-49C5-A714-30C4374C7646}" cache="Slicer_States" caption="States" columnCount="2" style="SlicerStyleLight6"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nemp_Slicer" xr10:uid="{0F0B8A22-5D6F-3F4E-865B-0756500EFB11}" cache="Slicer_State1" caption="State" columnCount="2" style="SlicerStyleLight6"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F320E48-0DE4-4F28-891D-A021857B1809}" name="Table3" displayName="Table3" ref="B15:C25" totalsRowShown="0" headerRowDxfId="113" dataDxfId="111" headerRowBorderDxfId="112" tableBorderDxfId="110" totalsRowBorderDxfId="109">
  <tableColumns count="2">
    <tableColumn id="1" xr3:uid="{C6783AF8-FDFD-4275-A5DE-A3A32CB0A7C8}" name="Data" dataDxfId="108"/>
    <tableColumn id="2" xr3:uid="{6A217A96-F21A-48EA-B32A-B14A2D31D9B6}" name="Sources" dataDxfId="107" dataCellStyle="Hyperlink"/>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0D5A38A-1955-A74B-8A59-D8800E6D2905}" name="Edu_Rank" displayName="Edu_Rank" ref="D4:G55" totalsRowShown="0" headerRowDxfId="106" dataDxfId="104" headerRowBorderDxfId="105" tableBorderDxfId="103" totalsRowBorderDxfId="102">
  <sortState xmlns:xlrd2="http://schemas.microsoft.com/office/spreadsheetml/2017/richdata2" ref="D5:G55">
    <sortCondition ref="G4:G55"/>
  </sortState>
  <tableColumns count="4">
    <tableColumn id="1" xr3:uid="{053DE422-9E30-5146-8CA6-6A7BBD655544}" name="State" dataDxfId="101"/>
    <tableColumn id="5" xr3:uid="{1795D962-70EE-41D1-8DE4-53D87D204EB8}" name="Student Success" dataDxfId="100"/>
    <tableColumn id="6" xr3:uid="{A987B113-1986-4DE5-80F3-478CB594EDEC}" name="Student Safety" dataDxfId="99"/>
    <tableColumn id="7" xr3:uid="{649A9848-8019-4F73-9FBB-ABDBF392D864}" name="School Quality" dataDxfId="98"/>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FFF3DE7-912F-B549-B63B-3D3AFB03CF25}" name="Liv_Cond" displayName="Liv_Cond" ref="B7:J58" totalsRowShown="0" headerRowDxfId="97" dataDxfId="95" headerRowBorderDxfId="96" tableBorderDxfId="94" totalsRowBorderDxfId="93">
  <sortState xmlns:xlrd2="http://schemas.microsoft.com/office/spreadsheetml/2017/richdata2" ref="B8:J58">
    <sortCondition ref="J7:J58"/>
  </sortState>
  <tableColumns count="9">
    <tableColumn id="1" xr3:uid="{E8D594BF-06C0-3E49-A8FE-9CD2A8ECCE42}" name="State" dataDxfId="92"/>
    <tableColumn id="2" xr3:uid="{FF862AAD-9151-D24F-85FF-FA5DC2B25EBA}" name="AvgTempF" dataDxfId="91"/>
    <tableColumn id="3" xr3:uid="{7923734F-7C0D-5940-B0D8-3F603985187D}" name="AvgTempC" dataDxfId="90"/>
    <tableColumn id="5" xr3:uid="{09756161-9019-104E-8356-D68043EEDE12}" name="AvgAnnualSunlight (kJ/m^2)" dataDxfId="89" dataCellStyle="Comma"/>
    <tableColumn id="6" xr3:uid="{157C062C-52D4-9E40-9DB0-D1D4D2E7C553}" name="AvgAnnualPrecipitation (in)" dataDxfId="88" dataCellStyle="Comma"/>
    <tableColumn id="4" xr3:uid="{FD0D12F0-3647-4544-A9A2-C163D82E4A39}" name="AvgAnnualSnowfall (in)" dataDxfId="87"/>
    <tableColumn id="7" xr3:uid="{7B96CA9B-BD59-5044-A55F-49049FFE0E68}" name="NumOfExtremeWeatherEvents" dataDxfId="86"/>
    <tableColumn id="9" xr3:uid="{3CA50353-87CF-5A4C-A835-65CD082DDD69}" name="Crime Cases" dataDxfId="85" dataCellStyle="Comma"/>
    <tableColumn id="10" xr3:uid="{589CB769-1F20-CC45-9979-3976AC42089A}" name="Population" dataDxfId="84" dataCellStyle="Comma"/>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24E2CE-B2F7-4B42-A01C-40E1BC5909AD}" name="Income_Expenses" displayName="Income_Expenses" ref="B10:F61" totalsRowShown="0" headerRowDxfId="82" dataDxfId="80" headerRowBorderDxfId="81" tableBorderDxfId="79" totalsRowBorderDxfId="78">
  <sortState xmlns:xlrd2="http://schemas.microsoft.com/office/spreadsheetml/2017/richdata2" ref="B11:F61">
    <sortCondition ref="B10:B61"/>
  </sortState>
  <tableColumns count="5">
    <tableColumn id="1" xr3:uid="{4BFBC8A6-D2F2-5B49-9244-013EB48191F5}" name="State" dataDxfId="77"/>
    <tableColumn id="2" xr3:uid="{BF7EBA4D-6D6A-4A49-826A-BB3533B651EE}" name="Monthly Rent" dataDxfId="76"/>
    <tableColumn id="3" xr3:uid="{EFD2E601-B532-9E4A-9E4B-A9B905AF84D8}" name="Monthly Grocery" dataDxfId="75" dataCellStyle="Currency"/>
    <tableColumn id="4" xr3:uid="{1569F60B-2FEA-504C-9EA8-852EB4AB5586}" name="Monthly Income" dataDxfId="74" dataCellStyle="Currency">
      <calculatedColumnFormula>Income_Expenses[[#This Row],[Annual Income]]/12</calculatedColumnFormula>
    </tableColumn>
    <tableColumn id="5" xr3:uid="{CD955C8A-81C0-EF48-B2FC-81B4DA4C9D45}" name="Annual Income" dataDxfId="73" dataCellStyle="Currency"/>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AA75FD-079B-EB4B-8D0B-FADBAE75A446}" name="Pop_Est" displayName="Pop_Est" ref="B4:F55" totalsRowShown="0">
  <autoFilter ref="B4:F55" xr:uid="{C5AA75FD-079B-EB4B-8D0B-FADBAE75A446}"/>
  <tableColumns count="5">
    <tableColumn id="1" xr3:uid="{4D8CD4E9-5790-2C49-9FEF-D267360A6924}" name="State"/>
    <tableColumn id="2" xr3:uid="{1F784540-F599-2D47-8A97-EB655BF657F5}" name="2020 Population" dataDxfId="29" dataCellStyle="Comma"/>
    <tableColumn id="3" xr3:uid="{B2C7982A-0CE1-B640-8025-B1CF8C5CCF9F}" name="2021 Population" dataDxfId="28" dataCellStyle="Comma"/>
    <tableColumn id="4" xr3:uid="{BD7C64B2-4790-2644-9C52-C6207E694F23}" name="2022 Population" dataDxfId="27" dataCellStyle="Comma"/>
    <tableColumn id="5" xr3:uid="{69197ECE-2921-C44B-982A-93D47B03FA75}" name="2023 Population" dataDxfId="26" dataCellStyle="Comma"/>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6E5DAC-D592-8246-8F0B-4D64E399708F}" name="CoL_Index" displayName="CoL_Index" ref="B4:J55" totalsRowShown="0" headerRowDxfId="25" dataDxfId="23" headerRowBorderDxfId="24" tableBorderDxfId="22" totalsRowBorderDxfId="21">
  <autoFilter ref="B4:J55" xr:uid="{346E5DAC-D592-8246-8F0B-4D64E399708F}"/>
  <sortState xmlns:xlrd2="http://schemas.microsoft.com/office/spreadsheetml/2017/richdata2" ref="B5:J55">
    <sortCondition ref="B4:B55"/>
  </sortState>
  <tableColumns count="9">
    <tableColumn id="2" xr3:uid="{7D4738C8-9D5E-874E-9AF5-448A6B89FC21}" name="State" dataDxfId="20"/>
    <tableColumn id="1" xr3:uid="{A54DFD3C-888E-8A48-8286-6C4E22970631}" name="Rank" dataDxfId="19"/>
    <tableColumn id="3" xr3:uid="{C6CDA0E1-B56F-7145-82DC-99388D83280C}" name="Index" dataDxfId="18"/>
    <tableColumn id="4" xr3:uid="{9D750155-10C0-3544-AFD3-9F0B035A2FD2}" name="Grocery" dataDxfId="17"/>
    <tableColumn id="5" xr3:uid="{5C5824EE-88C8-504C-B20B-2205E90EF089}" name="Housing" dataDxfId="16"/>
    <tableColumn id="6" xr3:uid="{FD5D437D-5C12-0040-B935-62F76B3CC9CA}" name="Utilities" dataDxfId="15"/>
    <tableColumn id="7" xr3:uid="{2E7A917D-B84E-E64A-AD05-78ACC330D943}" name="Transportation" dataDxfId="14"/>
    <tableColumn id="8" xr3:uid="{EB014FAB-B52E-214B-B0C3-C909742CDA4A}" name="Health " dataDxfId="13"/>
    <tableColumn id="9" xr3:uid="{FD05818C-93C8-8D48-9819-3A50B2E5216C}" name="Misc." dataDxfId="1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E88DC01-1B54-BB4B-913E-5099B6CF73D3}" name="Median_Income" displayName="Median_Income" ref="B4:H55" totalsRowShown="0" headerRowDxfId="9">
  <sortState xmlns:xlrd2="http://schemas.microsoft.com/office/spreadsheetml/2017/richdata2" ref="B5:H55">
    <sortCondition descending="1" ref="H4:H55"/>
  </sortState>
  <tableColumns count="7">
    <tableColumn id="1" xr3:uid="{9EBDC50A-0564-824F-8D7E-80A4755AB229}" name="States"/>
    <tableColumn id="3" xr3:uid="{24B3BE19-6489-424F-B969-93BDD3C18353}" name="1 Earner (2012)" dataDxfId="8" dataCellStyle="Currency"/>
    <tableColumn id="2" xr3:uid="{18281221-48F9-464C-864A-7058E14CE142}" name="1 Earner (2018)" dataDxfId="7" dataCellStyle="Currency"/>
    <tableColumn id="4" xr3:uid="{D1289D09-EC29-9C4E-BB7E-29895EFC8F9F}" name="1 Earner (2023)" dataDxfId="6" dataCellStyle="Currency"/>
    <tableColumn id="5" xr3:uid="{BE6A1097-CDC6-5F44-89DF-A7BA3BCB2F49}" name="2 People" dataDxfId="5" dataCellStyle="Currency"/>
    <tableColumn id="6" xr3:uid="{C3960989-4A09-664E-8149-91B43A1153BE}" name="3 People" dataDxfId="4" dataCellStyle="Currency"/>
    <tableColumn id="7" xr3:uid="{97648648-34D5-664E-897F-4371E6F7617F}" name="4 People" dataDxfId="3" dataCellStyle="Currency"/>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84AECCF-D945-8141-8B91-4846A3309C00}" name="Unemp_Rate_Rank" displayName="Unemp_Rate_Rank" ref="B4:J55" totalsRowShown="0" headerRowDxfId="2">
  <autoFilter ref="B4:J55" xr:uid="{184AECCF-D945-8141-8B91-4846A3309C00}"/>
  <sortState xmlns:xlrd2="http://schemas.microsoft.com/office/spreadsheetml/2017/richdata2" ref="B5:J55">
    <sortCondition ref="B4:B55"/>
  </sortState>
  <tableColumns count="9">
    <tableColumn id="1" xr3:uid="{9B516D21-30CB-3149-B41F-1E7D70961C1A}" name="State"/>
    <tableColumn id="2" xr3:uid="{D83CA631-328A-5940-B698-BAD798B593E6}" name="2023 Rate (%)" dataDxfId="1" dataCellStyle="Comma"/>
    <tableColumn id="4" xr3:uid="{401AA0F1-141E-2B4B-91C9-BB28DAD790E2}" name="2022 Rate (%)" dataDxfId="0" dataCellStyle="Comma"/>
    <tableColumn id="6" xr3:uid="{6D9CFA49-B4AD-1343-94A4-582A6D4C3CC4}" name="2021 Rate (%)"/>
    <tableColumn id="8" xr3:uid="{0E4A371F-B40D-9941-A27C-D6E15336A82D}" name="2020 Rate (%)"/>
    <tableColumn id="3" xr3:uid="{3B5DD353-6276-D846-A03C-6A6DCAA794D6}" name="2023 Rank"/>
    <tableColumn id="5" xr3:uid="{73AFE0E4-DF59-9742-8D94-F3FE89CED829}" name="2022 Rank"/>
    <tableColumn id="7" xr3:uid="{1DEDB896-DA0E-8E4D-AAED-8038D168F344}" name="2021 Rank"/>
    <tableColumn id="9" xr3:uid="{AA33A51F-43F6-F445-9818-1382A0247929}" name="2020 Ra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statista.com/statistics/200445/reported-violent-crime-rate-in-the-us-states/" TargetMode="External"/><Relationship Id="rId3" Type="http://schemas.openxmlformats.org/officeDocument/2006/relationships/hyperlink" Target="https://worldpopulationreview.com/state-rankings/grocery-prices-by-state" TargetMode="External"/><Relationship Id="rId7" Type="http://schemas.openxmlformats.org/officeDocument/2006/relationships/hyperlink" Target="https://worldpopulationreview.com/state-rankings/public-school-rankings-by-state" TargetMode="External"/><Relationship Id="rId12" Type="http://schemas.openxmlformats.org/officeDocument/2006/relationships/table" Target="../tables/table1.xml"/><Relationship Id="rId2" Type="http://schemas.openxmlformats.org/officeDocument/2006/relationships/hyperlink" Target="https://www.forbes.com/advisor/mortgages/average-rent-by-state/" TargetMode="External"/><Relationship Id="rId1" Type="http://schemas.openxmlformats.org/officeDocument/2006/relationships/hyperlink" Target="https://meric.mo.gov/data/cost-living-data-series" TargetMode="External"/><Relationship Id="rId6" Type="http://schemas.openxmlformats.org/officeDocument/2006/relationships/hyperlink" Target="https://www.google.com/url?sa=t&amp;rct=j&amp;q=&amp;esrc=s&amp;source=web&amp;cd=&amp;cad=rja&amp;uact=8&amp;ved=2ahUKEwj-hs_yiOaFAxVwFVkFHbDPCRIQFnoECBIQAQ&amp;url=https%3A%2F%2Fdlt.ri.gov%2Fmedia%2F15101%2Fdownload%3Flanguage%3Den&amp;usg=AOvVaw1ETbZqy6x8LYHosKhxzdUH&amp;opi=89978449" TargetMode="External"/><Relationship Id="rId11" Type="http://schemas.openxmlformats.org/officeDocument/2006/relationships/drawing" Target="../drawings/drawing1.xml"/><Relationship Id="rId5" Type="http://schemas.openxmlformats.org/officeDocument/2006/relationships/hyperlink" Target="https://www.justice.gov/ust/eo/bapcpa/20230401/bci_data/median_income_table.htm" TargetMode="External"/><Relationship Id="rId10" Type="http://schemas.openxmlformats.org/officeDocument/2006/relationships/hyperlink" Target="https://www.census.gov/data/tables/time-series/demo/popest/2020s-state-total.html" TargetMode="External"/><Relationship Id="rId4" Type="http://schemas.openxmlformats.org/officeDocument/2006/relationships/hyperlink" Target="https://www2.census.gov/programs-surveys/cps/tables/time-series/historical-income-households/h08.xls" TargetMode="External"/><Relationship Id="rId9" Type="http://schemas.openxmlformats.org/officeDocument/2006/relationships/hyperlink" Target="https://worldpopulationreview.com/state-rankings/best-weather-by-state"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ctrlProp" Target="../ctrlProps/ctrlProp1.xml"/><Relationship Id="rId7"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ivotTable" Target="../pivotTables/pivotTable1.xml"/><Relationship Id="rId5" Type="http://schemas.openxmlformats.org/officeDocument/2006/relationships/comments" Target="../comments4.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ivotTable" Target="../pivotTables/pivotTable2.xml"/><Relationship Id="rId5" Type="http://schemas.openxmlformats.org/officeDocument/2006/relationships/comments" Target="../comments5.xml"/><Relationship Id="rId4" Type="http://schemas.microsoft.com/office/2007/relationships/slicer" Target="../slicers/slicer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F7672-FBF7-C34C-BAC5-517FDB6992C3}">
  <sheetPr codeName="Sheet1">
    <tabColor theme="6" tint="-0.249977111117893"/>
  </sheetPr>
  <dimension ref="B1:D25"/>
  <sheetViews>
    <sheetView tabSelected="1" zoomScale="125" workbookViewId="0">
      <selection activeCell="G11" sqref="G11"/>
    </sheetView>
  </sheetViews>
  <sheetFormatPr baseColWidth="10" defaultColWidth="11" defaultRowHeight="16"/>
  <cols>
    <col min="1" max="1" width="11" style="67"/>
    <col min="2" max="2" width="26" style="67" bestFit="1" customWidth="1"/>
    <col min="3" max="3" width="86.5" style="67" bestFit="1" customWidth="1"/>
    <col min="4" max="5" width="12.33203125" style="67" bestFit="1" customWidth="1"/>
    <col min="6" max="16384" width="11" style="67"/>
  </cols>
  <sheetData>
    <row r="1" spans="2:4" ht="27">
      <c r="B1" s="72"/>
      <c r="C1" s="72"/>
      <c r="D1" s="66"/>
    </row>
    <row r="2" spans="2:4" ht="22">
      <c r="B2" s="68"/>
      <c r="C2" s="68"/>
      <c r="D2" s="68"/>
    </row>
    <row r="8" spans="2:4" ht="22">
      <c r="B8" s="69"/>
    </row>
    <row r="9" spans="2:4" ht="22">
      <c r="B9" s="69"/>
    </row>
    <row r="10" spans="2:4" ht="22">
      <c r="B10" s="69"/>
    </row>
    <row r="11" spans="2:4" ht="22">
      <c r="B11" s="69"/>
    </row>
    <row r="15" spans="2:4" ht="19">
      <c r="B15" s="70" t="s">
        <v>113</v>
      </c>
      <c r="C15" s="71" t="s">
        <v>79</v>
      </c>
    </row>
    <row r="16" spans="2:4" ht="19">
      <c r="B16" s="48" t="s">
        <v>82</v>
      </c>
      <c r="C16" s="49" t="s">
        <v>80</v>
      </c>
    </row>
    <row r="17" spans="2:3" ht="19">
      <c r="B17" s="48" t="s">
        <v>83</v>
      </c>
      <c r="C17" s="49" t="s">
        <v>81</v>
      </c>
    </row>
    <row r="18" spans="2:3" ht="19">
      <c r="B18" s="48" t="s">
        <v>85</v>
      </c>
      <c r="C18" s="49" t="s">
        <v>84</v>
      </c>
    </row>
    <row r="19" spans="2:3" ht="19">
      <c r="B19" s="48" t="s">
        <v>100</v>
      </c>
      <c r="C19" s="49" t="s">
        <v>86</v>
      </c>
    </row>
    <row r="20" spans="2:3" ht="19">
      <c r="B20" s="48" t="s">
        <v>87</v>
      </c>
      <c r="C20" s="49" t="s">
        <v>88</v>
      </c>
    </row>
    <row r="21" spans="2:3" ht="19">
      <c r="B21" s="48" t="s">
        <v>59</v>
      </c>
      <c r="C21" s="49" t="s">
        <v>96</v>
      </c>
    </row>
    <row r="22" spans="2:3" ht="19">
      <c r="B22" s="48" t="s">
        <v>90</v>
      </c>
      <c r="C22" s="49" t="s">
        <v>89</v>
      </c>
    </row>
    <row r="23" spans="2:3" ht="19">
      <c r="B23" s="48" t="s">
        <v>92</v>
      </c>
      <c r="C23" s="49" t="s">
        <v>91</v>
      </c>
    </row>
    <row r="24" spans="2:3" ht="19">
      <c r="B24" s="48" t="s">
        <v>94</v>
      </c>
      <c r="C24" s="49" t="s">
        <v>93</v>
      </c>
    </row>
    <row r="25" spans="2:3" ht="19">
      <c r="B25" s="50" t="s">
        <v>97</v>
      </c>
      <c r="C25" s="51" t="s">
        <v>95</v>
      </c>
    </row>
  </sheetData>
  <hyperlinks>
    <hyperlink ref="C16" r:id="rId1" display="https://meric.mo.gov/data/cost-living-data-series" xr:uid="{D2EBDB83-FDD4-ED46-B521-0C2C4BA947EB}"/>
    <hyperlink ref="C17" r:id="rId2" display="https://www.forbes.com/advisor/mortgages/average-rent-by-state/" xr:uid="{CB8C8673-28BB-9641-A795-A3F751949A71}"/>
    <hyperlink ref="C18" r:id="rId3" display="https://worldpopulationreview.com/state-rankings/grocery-prices-by-state" xr:uid="{80982F1D-0AFA-C64E-9A29-677CF7B1F7C8}"/>
    <hyperlink ref="C19" r:id="rId4" xr:uid="{8B9E2C17-FFB2-BF47-BAE2-2C29F47AC6CF}"/>
    <hyperlink ref="C20" r:id="rId5" display="https://www.justice.gov/ust/eo/bapcpa/20230401/bci_data/median_income_table.htm" xr:uid="{28BE0962-7864-5341-8C5F-B63C9F553DCE}"/>
    <hyperlink ref="C21" r:id="rId6" display="Unempoyment Rates for States" xr:uid="{15BD9A50-15F0-2E46-91E1-1C437B05377E}"/>
    <hyperlink ref="C22" r:id="rId7" display="https://worldpopulationreview.com/state-rankings/public-school-rankings-by-state" xr:uid="{03C2FD68-FD60-004F-AC0B-9448DA4AFB10}"/>
    <hyperlink ref="C23" r:id="rId8" display="https://www.statista.com/statistics/200445/reported-violent-crime-rate-in-the-us-states/" xr:uid="{4A2E22CF-9EE5-F843-BA38-5F5F79B7AE1B}"/>
    <hyperlink ref="C24" r:id="rId9" display="https://worldpopulationreview.com/state-rankings/best-weather-by-state" xr:uid="{458CA5AF-A5E2-F24C-A3FF-688E1D326E1C}"/>
    <hyperlink ref="C25" r:id="rId10" xr:uid="{3BB6E204-7C64-F04D-9021-EECC018B711B}"/>
  </hyperlinks>
  <pageMargins left="0.7" right="0.7" top="0.75" bottom="0.75" header="0.3" footer="0.3"/>
  <pageSetup orientation="portrait" horizontalDpi="0" verticalDpi="0"/>
  <drawing r:id="rId11"/>
  <tableParts count="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DC4BB-1BA2-6C4D-893C-D56E4B351CE1}">
  <sheetPr codeName="Sheet2">
    <tabColor theme="9" tint="0.59999389629810485"/>
  </sheetPr>
  <dimension ref="A1:G55"/>
  <sheetViews>
    <sheetView workbookViewId="0">
      <selection activeCell="D5" sqref="D5"/>
    </sheetView>
  </sheetViews>
  <sheetFormatPr baseColWidth="10" defaultColWidth="11" defaultRowHeight="16"/>
  <cols>
    <col min="1" max="7" width="25.83203125" style="43" customWidth="1"/>
    <col min="8" max="8" width="30.6640625" style="43" customWidth="1"/>
    <col min="9" max="9" width="15.6640625" style="43" customWidth="1"/>
    <col min="10" max="27" width="11.83203125" style="43" customWidth="1"/>
    <col min="28" max="16384" width="11" style="43"/>
  </cols>
  <sheetData>
    <row r="1" spans="1:7" ht="32">
      <c r="A1" s="104" t="s">
        <v>130</v>
      </c>
      <c r="B1" s="104"/>
      <c r="C1" s="104"/>
      <c r="D1" s="25"/>
      <c r="E1" s="25"/>
      <c r="F1" s="25"/>
      <c r="G1" s="25"/>
    </row>
    <row r="2" spans="1:7">
      <c r="A2" s="104"/>
      <c r="B2" s="104"/>
      <c r="C2" s="104"/>
      <c r="D2"/>
      <c r="E2"/>
      <c r="F2"/>
      <c r="G2"/>
    </row>
    <row r="3" spans="1:7" ht="19.5" customHeight="1"/>
    <row r="4" spans="1:7" ht="19">
      <c r="D4" s="54" t="s">
        <v>0</v>
      </c>
      <c r="E4" s="55" t="s">
        <v>63</v>
      </c>
      <c r="F4" s="56" t="s">
        <v>64</v>
      </c>
      <c r="G4" s="57" t="s">
        <v>65</v>
      </c>
    </row>
    <row r="5" spans="1:7">
      <c r="D5" s="61" t="s">
        <v>44</v>
      </c>
      <c r="E5" s="62">
        <v>2</v>
      </c>
      <c r="F5" s="97">
        <v>16</v>
      </c>
      <c r="G5" s="88">
        <v>1</v>
      </c>
    </row>
    <row r="6" spans="1:7">
      <c r="D6" s="61" t="s">
        <v>52</v>
      </c>
      <c r="E6" s="97">
        <v>13</v>
      </c>
      <c r="F6" s="97">
        <v>22</v>
      </c>
      <c r="G6" s="88">
        <v>2</v>
      </c>
    </row>
    <row r="7" spans="1:7">
      <c r="D7" s="61" t="s">
        <v>46</v>
      </c>
      <c r="E7" s="62">
        <v>3</v>
      </c>
      <c r="F7" s="97">
        <v>7</v>
      </c>
      <c r="G7" s="88">
        <v>3</v>
      </c>
    </row>
    <row r="8" spans="1:7">
      <c r="D8" s="61" t="s">
        <v>48</v>
      </c>
      <c r="E8" s="97">
        <v>8</v>
      </c>
      <c r="F8" s="62">
        <v>5</v>
      </c>
      <c r="G8" s="88">
        <v>4</v>
      </c>
    </row>
    <row r="9" spans="1:7">
      <c r="D9" s="61" t="s">
        <v>45</v>
      </c>
      <c r="E9" s="62">
        <v>4</v>
      </c>
      <c r="F9" s="62">
        <v>2</v>
      </c>
      <c r="G9" s="88">
        <v>5</v>
      </c>
    </row>
    <row r="10" spans="1:7">
      <c r="D10" s="61" t="s">
        <v>54</v>
      </c>
      <c r="E10" s="62">
        <v>1</v>
      </c>
      <c r="F10" s="97">
        <v>13</v>
      </c>
      <c r="G10" s="98">
        <v>6</v>
      </c>
    </row>
    <row r="11" spans="1:7">
      <c r="D11" s="96" t="s">
        <v>43</v>
      </c>
      <c r="E11" s="97">
        <v>18</v>
      </c>
      <c r="F11" s="97">
        <v>46</v>
      </c>
      <c r="G11" s="98">
        <v>7</v>
      </c>
    </row>
    <row r="12" spans="1:7">
      <c r="D12" s="96" t="s">
        <v>32</v>
      </c>
      <c r="E12" s="97">
        <v>12</v>
      </c>
      <c r="F12" s="97">
        <v>15</v>
      </c>
      <c r="G12" s="98">
        <v>8</v>
      </c>
    </row>
    <row r="13" spans="1:7">
      <c r="D13" s="96" t="s">
        <v>36</v>
      </c>
      <c r="E13" s="97">
        <v>16</v>
      </c>
      <c r="F13" s="97">
        <v>8</v>
      </c>
      <c r="G13" s="98">
        <v>9</v>
      </c>
    </row>
    <row r="14" spans="1:7">
      <c r="D14" s="61" t="s">
        <v>50</v>
      </c>
      <c r="E14" s="62">
        <v>5</v>
      </c>
      <c r="F14" s="97">
        <v>29</v>
      </c>
      <c r="G14" s="98">
        <v>10</v>
      </c>
    </row>
    <row r="15" spans="1:7">
      <c r="D15" s="61" t="s">
        <v>42</v>
      </c>
      <c r="E15" s="97">
        <v>6</v>
      </c>
      <c r="F15" s="62">
        <v>3</v>
      </c>
      <c r="G15" s="98">
        <v>11</v>
      </c>
    </row>
    <row r="16" spans="1:7">
      <c r="D16" s="61" t="s">
        <v>28</v>
      </c>
      <c r="E16" s="97">
        <v>39</v>
      </c>
      <c r="F16" s="62">
        <v>4</v>
      </c>
      <c r="G16" s="98">
        <v>12</v>
      </c>
    </row>
    <row r="17" spans="4:7">
      <c r="D17" s="96" t="s">
        <v>37</v>
      </c>
      <c r="E17" s="97">
        <v>7</v>
      </c>
      <c r="F17" s="97">
        <v>12</v>
      </c>
      <c r="G17" s="98">
        <v>13</v>
      </c>
    </row>
    <row r="18" spans="4:7">
      <c r="D18" s="96" t="s">
        <v>21</v>
      </c>
      <c r="E18" s="97">
        <v>11</v>
      </c>
      <c r="F18" s="97">
        <v>41</v>
      </c>
      <c r="G18" s="98">
        <v>14</v>
      </c>
    </row>
    <row r="19" spans="4:7">
      <c r="D19" s="96" t="s">
        <v>23</v>
      </c>
      <c r="E19" s="97">
        <v>24</v>
      </c>
      <c r="F19" s="97">
        <v>14</v>
      </c>
      <c r="G19" s="98">
        <v>15</v>
      </c>
    </row>
    <row r="20" spans="4:7">
      <c r="D20" s="96" t="s">
        <v>17</v>
      </c>
      <c r="E20" s="97">
        <v>33</v>
      </c>
      <c r="F20" s="97">
        <v>17</v>
      </c>
      <c r="G20" s="98">
        <v>16</v>
      </c>
    </row>
    <row r="21" spans="4:7">
      <c r="D21" s="96" t="s">
        <v>29</v>
      </c>
      <c r="E21" s="97">
        <v>25</v>
      </c>
      <c r="F21" s="97">
        <v>18</v>
      </c>
      <c r="G21" s="98">
        <v>17</v>
      </c>
    </row>
    <row r="22" spans="4:7">
      <c r="D22" s="96" t="s">
        <v>14</v>
      </c>
      <c r="E22" s="97">
        <v>17</v>
      </c>
      <c r="F22" s="97">
        <v>23</v>
      </c>
      <c r="G22" s="98">
        <v>18</v>
      </c>
    </row>
    <row r="23" spans="4:7">
      <c r="D23" s="96" t="s">
        <v>19</v>
      </c>
      <c r="E23" s="97">
        <v>20</v>
      </c>
      <c r="F23" s="97">
        <v>37</v>
      </c>
      <c r="G23" s="98">
        <v>19</v>
      </c>
    </row>
    <row r="24" spans="4:7">
      <c r="D24" s="96" t="s">
        <v>11</v>
      </c>
      <c r="E24" s="97">
        <v>32</v>
      </c>
      <c r="F24" s="97">
        <v>35</v>
      </c>
      <c r="G24" s="98">
        <v>20</v>
      </c>
    </row>
    <row r="25" spans="4:7">
      <c r="D25" s="61" t="s">
        <v>40</v>
      </c>
      <c r="E25" s="97">
        <v>10</v>
      </c>
      <c r="F25" s="62">
        <v>1</v>
      </c>
      <c r="G25" s="98">
        <v>21</v>
      </c>
    </row>
    <row r="26" spans="4:7">
      <c r="D26" s="96" t="s">
        <v>26</v>
      </c>
      <c r="E26" s="97">
        <v>15</v>
      </c>
      <c r="F26" s="97">
        <v>19</v>
      </c>
      <c r="G26" s="98">
        <v>22</v>
      </c>
    </row>
    <row r="27" spans="4:7">
      <c r="D27" s="96" t="s">
        <v>49</v>
      </c>
      <c r="E27" s="97">
        <v>9</v>
      </c>
      <c r="F27" s="97">
        <v>26</v>
      </c>
      <c r="G27" s="98">
        <v>23</v>
      </c>
    </row>
    <row r="28" spans="4:7">
      <c r="D28" s="96" t="s">
        <v>12</v>
      </c>
      <c r="E28" s="97">
        <v>34</v>
      </c>
      <c r="F28" s="97">
        <v>40</v>
      </c>
      <c r="G28" s="98">
        <v>24</v>
      </c>
    </row>
    <row r="29" spans="4:7">
      <c r="D29" s="96" t="s">
        <v>16</v>
      </c>
      <c r="E29" s="97">
        <v>38</v>
      </c>
      <c r="F29" s="97">
        <v>34</v>
      </c>
      <c r="G29" s="98">
        <v>25</v>
      </c>
    </row>
    <row r="30" spans="4:7">
      <c r="D30" s="96" t="s">
        <v>20</v>
      </c>
      <c r="E30" s="97">
        <v>36</v>
      </c>
      <c r="F30" s="97">
        <v>30</v>
      </c>
      <c r="G30" s="98">
        <v>26</v>
      </c>
    </row>
    <row r="31" spans="4:7">
      <c r="D31" s="96" t="s">
        <v>22</v>
      </c>
      <c r="E31" s="97">
        <v>22</v>
      </c>
      <c r="F31" s="97">
        <v>6</v>
      </c>
      <c r="G31" s="98">
        <v>27</v>
      </c>
    </row>
    <row r="32" spans="4:7">
      <c r="D32" s="96" t="s">
        <v>30</v>
      </c>
      <c r="E32" s="97">
        <v>40</v>
      </c>
      <c r="F32" s="97">
        <v>47</v>
      </c>
      <c r="G32" s="98">
        <v>28</v>
      </c>
    </row>
    <row r="33" spans="4:7">
      <c r="D33" s="96" t="s">
        <v>9</v>
      </c>
      <c r="E33" s="97">
        <v>37</v>
      </c>
      <c r="F33" s="97">
        <v>32</v>
      </c>
      <c r="G33" s="98">
        <v>29</v>
      </c>
    </row>
    <row r="34" spans="4:7">
      <c r="D34" s="96" t="s">
        <v>8</v>
      </c>
      <c r="E34" s="97">
        <v>27</v>
      </c>
      <c r="F34" s="97">
        <v>31</v>
      </c>
      <c r="G34" s="98">
        <v>30</v>
      </c>
    </row>
    <row r="35" spans="4:7">
      <c r="D35" s="96" t="s">
        <v>27</v>
      </c>
      <c r="E35" s="97">
        <v>29</v>
      </c>
      <c r="F35" s="97">
        <v>11</v>
      </c>
      <c r="G35" s="98">
        <v>31</v>
      </c>
    </row>
    <row r="36" spans="4:7">
      <c r="D36" s="96" t="s">
        <v>38</v>
      </c>
      <c r="E36" s="97">
        <v>28</v>
      </c>
      <c r="F36" s="97">
        <v>28</v>
      </c>
      <c r="G36" s="98">
        <v>32</v>
      </c>
    </row>
    <row r="37" spans="4:7">
      <c r="D37" s="96" t="s">
        <v>13</v>
      </c>
      <c r="E37" s="97">
        <v>43</v>
      </c>
      <c r="F37" s="97">
        <v>38</v>
      </c>
      <c r="G37" s="98">
        <v>33</v>
      </c>
    </row>
    <row r="38" spans="4:7">
      <c r="D38" s="96" t="s">
        <v>56</v>
      </c>
      <c r="E38" s="97">
        <v>31</v>
      </c>
      <c r="F38" s="97">
        <v>42</v>
      </c>
      <c r="G38" s="98">
        <v>34</v>
      </c>
    </row>
    <row r="39" spans="4:7">
      <c r="D39" s="96" t="s">
        <v>47</v>
      </c>
      <c r="E39" s="97">
        <v>21</v>
      </c>
      <c r="F39" s="97">
        <v>24</v>
      </c>
      <c r="G39" s="98">
        <v>35</v>
      </c>
    </row>
    <row r="40" spans="4:7">
      <c r="D40" s="96" t="s">
        <v>53</v>
      </c>
      <c r="E40" s="97">
        <v>14</v>
      </c>
      <c r="F40" s="97">
        <v>49</v>
      </c>
      <c r="G40" s="98">
        <v>36</v>
      </c>
    </row>
    <row r="41" spans="4:7">
      <c r="D41" s="96" t="s">
        <v>15</v>
      </c>
      <c r="E41" s="97">
        <v>19</v>
      </c>
      <c r="F41" s="97">
        <v>39</v>
      </c>
      <c r="G41" s="98">
        <v>37</v>
      </c>
    </row>
    <row r="42" spans="4:7">
      <c r="D42" s="96" t="s">
        <v>24</v>
      </c>
      <c r="E42" s="97">
        <v>46</v>
      </c>
      <c r="F42" s="97">
        <v>25</v>
      </c>
      <c r="G42" s="98">
        <v>38</v>
      </c>
    </row>
    <row r="43" spans="4:7">
      <c r="D43" s="96" t="s">
        <v>51</v>
      </c>
      <c r="E43" s="97">
        <v>30</v>
      </c>
      <c r="F43" s="97">
        <v>36</v>
      </c>
      <c r="G43" s="98">
        <v>39</v>
      </c>
    </row>
    <row r="44" spans="4:7">
      <c r="D44" s="96" t="s">
        <v>31</v>
      </c>
      <c r="E44" s="97">
        <v>35</v>
      </c>
      <c r="F44" s="97">
        <v>43</v>
      </c>
      <c r="G44" s="98">
        <v>40</v>
      </c>
    </row>
    <row r="45" spans="4:7">
      <c r="D45" s="96" t="s">
        <v>7</v>
      </c>
      <c r="E45" s="97">
        <v>50</v>
      </c>
      <c r="F45" s="97">
        <v>9</v>
      </c>
      <c r="G45" s="98">
        <v>41</v>
      </c>
    </row>
    <row r="46" spans="4:7">
      <c r="D46" s="96" t="s">
        <v>25</v>
      </c>
      <c r="E46" s="97">
        <v>41</v>
      </c>
      <c r="F46" s="97">
        <v>44</v>
      </c>
      <c r="G46" s="98">
        <v>42</v>
      </c>
    </row>
    <row r="47" spans="4:7">
      <c r="D47" s="96" t="s">
        <v>34</v>
      </c>
      <c r="E47" s="97">
        <v>42</v>
      </c>
      <c r="F47" s="97">
        <v>27</v>
      </c>
      <c r="G47" s="98">
        <v>43</v>
      </c>
    </row>
    <row r="48" spans="4:7">
      <c r="D48" s="96" t="s">
        <v>10</v>
      </c>
      <c r="E48" s="97">
        <v>47</v>
      </c>
      <c r="F48" s="97">
        <v>33</v>
      </c>
      <c r="G48" s="98">
        <v>44</v>
      </c>
    </row>
    <row r="49" spans="4:7">
      <c r="D49" s="96" t="s">
        <v>33</v>
      </c>
      <c r="E49" s="97">
        <v>26</v>
      </c>
      <c r="F49" s="97">
        <v>20</v>
      </c>
      <c r="G49" s="98">
        <v>45</v>
      </c>
    </row>
    <row r="50" spans="4:7">
      <c r="D50" s="96" t="s">
        <v>35</v>
      </c>
      <c r="E50" s="97">
        <v>45</v>
      </c>
      <c r="F50" s="97">
        <v>50</v>
      </c>
      <c r="G50" s="98">
        <v>46</v>
      </c>
    </row>
    <row r="51" spans="4:7">
      <c r="D51" s="96" t="s">
        <v>6</v>
      </c>
      <c r="E51" s="97">
        <v>48</v>
      </c>
      <c r="F51" s="97">
        <v>10</v>
      </c>
      <c r="G51" s="98">
        <v>47</v>
      </c>
    </row>
    <row r="52" spans="4:7">
      <c r="D52" s="96" t="s">
        <v>39</v>
      </c>
      <c r="E52" s="97">
        <v>23</v>
      </c>
      <c r="F52" s="97">
        <v>21</v>
      </c>
      <c r="G52" s="98">
        <v>48</v>
      </c>
    </row>
    <row r="53" spans="4:7">
      <c r="D53" s="96" t="s">
        <v>18</v>
      </c>
      <c r="E53" s="97">
        <v>49</v>
      </c>
      <c r="F53" s="97">
        <v>48</v>
      </c>
      <c r="G53" s="98">
        <v>49</v>
      </c>
    </row>
    <row r="54" spans="4:7">
      <c r="D54" s="96" t="s">
        <v>41</v>
      </c>
      <c r="E54" s="97">
        <v>44</v>
      </c>
      <c r="F54" s="97">
        <v>45</v>
      </c>
      <c r="G54" s="98">
        <v>50</v>
      </c>
    </row>
    <row r="55" spans="4:7">
      <c r="D55" s="99" t="s">
        <v>55</v>
      </c>
      <c r="E55" s="100"/>
      <c r="F55" s="100"/>
      <c r="G55" s="101"/>
    </row>
  </sheetData>
  <mergeCells count="1">
    <mergeCell ref="A1:C2"/>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3325" r:id="rId3" name="Button 13">
              <controlPr defaultSize="0" print="0" autoFill="0" autoPict="0" macro="[0]!Top5StudentSuccess">
                <anchor moveWithCells="1" sizeWithCells="1">
                  <from>
                    <xdr:col>4</xdr:col>
                    <xdr:colOff>0</xdr:colOff>
                    <xdr:row>0</xdr:row>
                    <xdr:rowOff>0</xdr:rowOff>
                  </from>
                  <to>
                    <xdr:col>5</xdr:col>
                    <xdr:colOff>0</xdr:colOff>
                    <xdr:row>2</xdr:row>
                    <xdr:rowOff>0</xdr:rowOff>
                  </to>
                </anchor>
              </controlPr>
            </control>
          </mc:Choice>
        </mc:AlternateContent>
        <mc:AlternateContent xmlns:mc="http://schemas.openxmlformats.org/markup-compatibility/2006">
          <mc:Choice Requires="x14">
            <control shapeId="13328" r:id="rId4" name="Button 16">
              <controlPr defaultSize="0" print="0" autoFill="0" autoPict="0" macro="[0]!Top5StudentSafety">
                <anchor moveWithCells="1" sizeWithCells="1">
                  <from>
                    <xdr:col>5</xdr:col>
                    <xdr:colOff>0</xdr:colOff>
                    <xdr:row>0</xdr:row>
                    <xdr:rowOff>0</xdr:rowOff>
                  </from>
                  <to>
                    <xdr:col>6</xdr:col>
                    <xdr:colOff>0</xdr:colOff>
                    <xdr:row>2</xdr:row>
                    <xdr:rowOff>0</xdr:rowOff>
                  </to>
                </anchor>
              </controlPr>
            </control>
          </mc:Choice>
        </mc:AlternateContent>
        <mc:AlternateContent xmlns:mc="http://schemas.openxmlformats.org/markup-compatibility/2006">
          <mc:Choice Requires="x14">
            <control shapeId="13329" r:id="rId5" name="Button 17">
              <controlPr defaultSize="0" print="0" autoFill="0" autoPict="0" macro="[0]!Reset_Table1">
                <anchor moveWithCells="1" sizeWithCells="1">
                  <from>
                    <xdr:col>3</xdr:col>
                    <xdr:colOff>0</xdr:colOff>
                    <xdr:row>0</xdr:row>
                    <xdr:rowOff>0</xdr:rowOff>
                  </from>
                  <to>
                    <xdr:col>4</xdr:col>
                    <xdr:colOff>0</xdr:colOff>
                    <xdr:row>1</xdr:row>
                    <xdr:rowOff>203200</xdr:rowOff>
                  </to>
                </anchor>
              </controlPr>
            </control>
          </mc:Choice>
        </mc:AlternateContent>
        <mc:AlternateContent xmlns:mc="http://schemas.openxmlformats.org/markup-compatibility/2006">
          <mc:Choice Requires="x14">
            <control shapeId="13330" r:id="rId6" name="Button 18">
              <controlPr defaultSize="0" print="0" autoFill="0" autoPict="0" macro="[0]!Top5SchoolQuality">
                <anchor moveWithCells="1" sizeWithCells="1">
                  <from>
                    <xdr:col>6</xdr:col>
                    <xdr:colOff>0</xdr:colOff>
                    <xdr:row>0</xdr:row>
                    <xdr:rowOff>0</xdr:rowOff>
                  </from>
                  <to>
                    <xdr:col>7</xdr:col>
                    <xdr:colOff>0</xdr:colOff>
                    <xdr:row>2</xdr:row>
                    <xdr:rowOff>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2B94C-81E0-7A42-84B5-611299FE4690}">
  <sheetPr codeName="Sheet5">
    <tabColor theme="9" tint="0.59999389629810485"/>
  </sheetPr>
  <dimension ref="A1:K58"/>
  <sheetViews>
    <sheetView zoomScale="63" workbookViewId="0">
      <selection activeCell="J7" sqref="J7"/>
    </sheetView>
  </sheetViews>
  <sheetFormatPr baseColWidth="10" defaultColWidth="11" defaultRowHeight="16"/>
  <cols>
    <col min="1" max="1" width="6.83203125" style="43" bestFit="1" customWidth="1"/>
    <col min="2" max="10" width="40.6640625" style="43" customWidth="1"/>
    <col min="11" max="11" width="22.6640625" style="43" bestFit="1" customWidth="1"/>
    <col min="12" max="16384" width="11" style="43"/>
  </cols>
  <sheetData>
    <row r="1" spans="1:11" ht="47">
      <c r="B1" s="105" t="s">
        <v>128</v>
      </c>
      <c r="C1" s="105"/>
      <c r="D1" s="105"/>
      <c r="E1" s="47"/>
      <c r="F1" s="47"/>
      <c r="G1" s="47"/>
      <c r="H1" s="47"/>
      <c r="I1" s="47"/>
      <c r="J1" s="47"/>
      <c r="K1" s="47"/>
    </row>
    <row r="2" spans="1:11" ht="27">
      <c r="A2" s="46"/>
      <c r="B2" s="46"/>
      <c r="C2" s="46"/>
      <c r="D2" s="46"/>
      <c r="E2" s="46"/>
      <c r="F2" s="46"/>
      <c r="G2" s="46"/>
      <c r="H2" s="46"/>
      <c r="I2" s="46"/>
      <c r="J2" s="46"/>
      <c r="K2" s="46"/>
    </row>
    <row r="7" spans="1:11" ht="22">
      <c r="B7" s="27" t="s">
        <v>0</v>
      </c>
      <c r="C7" s="28" t="s">
        <v>68</v>
      </c>
      <c r="D7" s="28" t="s">
        <v>69</v>
      </c>
      <c r="E7" s="28" t="s">
        <v>67</v>
      </c>
      <c r="F7" s="28" t="s">
        <v>131</v>
      </c>
      <c r="G7" s="28" t="s">
        <v>66</v>
      </c>
      <c r="H7" s="28" t="s">
        <v>115</v>
      </c>
      <c r="I7" s="29" t="s">
        <v>116</v>
      </c>
      <c r="J7" s="30" t="s">
        <v>114</v>
      </c>
    </row>
    <row r="8" spans="1:11" ht="19">
      <c r="B8" s="52" t="s">
        <v>23</v>
      </c>
      <c r="C8" s="31">
        <v>42</v>
      </c>
      <c r="D8" s="31">
        <v>5.6</v>
      </c>
      <c r="E8" s="83">
        <v>4471</v>
      </c>
      <c r="F8" s="31">
        <v>12.97</v>
      </c>
      <c r="G8" s="31">
        <v>51</v>
      </c>
      <c r="H8" s="31">
        <v>10</v>
      </c>
      <c r="I8" s="81">
        <v>201.9</v>
      </c>
      <c r="J8" s="79">
        <v>584057</v>
      </c>
    </row>
    <row r="9" spans="1:11" ht="19">
      <c r="B9" s="52" t="s">
        <v>48</v>
      </c>
      <c r="C9" s="31">
        <v>42.9</v>
      </c>
      <c r="D9" s="31">
        <v>6.1</v>
      </c>
      <c r="E9" s="83">
        <v>3826</v>
      </c>
      <c r="F9" s="31">
        <v>42.82</v>
      </c>
      <c r="G9" s="31">
        <v>89.25</v>
      </c>
      <c r="H9" s="31">
        <v>3</v>
      </c>
      <c r="I9" s="81">
        <v>221.9</v>
      </c>
      <c r="J9" s="79">
        <v>647464</v>
      </c>
    </row>
    <row r="10" spans="1:11" ht="19">
      <c r="B10" s="52" t="s">
        <v>55</v>
      </c>
      <c r="C10" s="31"/>
      <c r="D10" s="31"/>
      <c r="E10" s="32"/>
      <c r="F10" s="103"/>
      <c r="G10" s="103"/>
      <c r="H10" s="31"/>
      <c r="I10" s="81">
        <v>812.3</v>
      </c>
      <c r="J10" s="79">
        <v>678972</v>
      </c>
    </row>
    <row r="11" spans="1:11" ht="19">
      <c r="B11" s="52" t="s">
        <v>51</v>
      </c>
      <c r="C11" s="31">
        <v>26.6</v>
      </c>
      <c r="D11" s="31">
        <v>-3</v>
      </c>
      <c r="E11" s="32"/>
      <c r="F11" s="31">
        <v>22.7</v>
      </c>
      <c r="G11" s="31">
        <v>64.459999999999994</v>
      </c>
      <c r="H11" s="31">
        <v>3</v>
      </c>
      <c r="I11" s="81">
        <v>758.9</v>
      </c>
      <c r="J11" s="79">
        <v>733406</v>
      </c>
    </row>
    <row r="12" spans="1:11" ht="19">
      <c r="B12" s="52" t="s">
        <v>27</v>
      </c>
      <c r="C12" s="31">
        <v>40.4</v>
      </c>
      <c r="D12" s="31">
        <v>4.7</v>
      </c>
      <c r="E12" s="83">
        <v>3925</v>
      </c>
      <c r="F12" s="31">
        <v>17.82</v>
      </c>
      <c r="G12" s="31">
        <v>37</v>
      </c>
      <c r="H12" s="31">
        <v>5</v>
      </c>
      <c r="I12" s="81">
        <v>279.60000000000002</v>
      </c>
      <c r="J12" s="79">
        <v>783926</v>
      </c>
    </row>
    <row r="13" spans="1:11" ht="19">
      <c r="B13" s="52" t="s">
        <v>22</v>
      </c>
      <c r="C13" s="31">
        <v>45.2</v>
      </c>
      <c r="D13" s="31">
        <v>7.3</v>
      </c>
      <c r="E13" s="83">
        <v>4332</v>
      </c>
      <c r="F13" s="31">
        <v>20.14</v>
      </c>
      <c r="G13" s="31">
        <v>37.43</v>
      </c>
      <c r="H13" s="31">
        <v>8</v>
      </c>
      <c r="I13" s="81">
        <v>377.4</v>
      </c>
      <c r="J13" s="79">
        <v>919318</v>
      </c>
    </row>
    <row r="14" spans="1:11" s="93" customFormat="1" ht="19">
      <c r="B14" s="52" t="s">
        <v>36</v>
      </c>
      <c r="C14" s="31">
        <v>55.3</v>
      </c>
      <c r="D14" s="31">
        <v>12.9</v>
      </c>
      <c r="E14" s="83">
        <v>4232</v>
      </c>
      <c r="F14" s="31">
        <v>45.68</v>
      </c>
      <c r="G14" s="31">
        <v>16.940000000000001</v>
      </c>
      <c r="H14" s="31">
        <v>7</v>
      </c>
      <c r="I14" s="81">
        <v>383.5</v>
      </c>
      <c r="J14" s="79">
        <v>1031890</v>
      </c>
    </row>
    <row r="15" spans="1:11" ht="19">
      <c r="B15" s="52" t="s">
        <v>43</v>
      </c>
      <c r="C15" s="31">
        <v>50.1</v>
      </c>
      <c r="D15" s="31">
        <v>10.1</v>
      </c>
      <c r="E15" s="83">
        <v>3989</v>
      </c>
      <c r="F15" s="31">
        <v>47.98</v>
      </c>
      <c r="G15" s="31">
        <v>38.85</v>
      </c>
      <c r="H15" s="31">
        <v>5</v>
      </c>
      <c r="I15" s="81">
        <v>172.3</v>
      </c>
      <c r="J15" s="79">
        <v>1095962</v>
      </c>
    </row>
    <row r="16" spans="1:11" ht="19">
      <c r="B16" s="52" t="s">
        <v>38</v>
      </c>
      <c r="C16" s="31">
        <v>42.7</v>
      </c>
      <c r="D16" s="31">
        <v>5.9</v>
      </c>
      <c r="E16" s="83">
        <v>3847</v>
      </c>
      <c r="F16" s="31">
        <v>15.37</v>
      </c>
      <c r="G16" s="31">
        <v>37.28</v>
      </c>
      <c r="H16" s="31">
        <v>11</v>
      </c>
      <c r="I16" s="81">
        <v>417.9</v>
      </c>
      <c r="J16" s="79">
        <v>1132812</v>
      </c>
    </row>
    <row r="17" spans="2:10" ht="19">
      <c r="B17" s="52" t="s">
        <v>42</v>
      </c>
      <c r="C17" s="31">
        <v>41</v>
      </c>
      <c r="D17" s="31">
        <v>5</v>
      </c>
      <c r="E17" s="83">
        <v>3815</v>
      </c>
      <c r="F17" s="31">
        <v>42.28</v>
      </c>
      <c r="G17" s="31">
        <v>77.28</v>
      </c>
      <c r="H17" s="31">
        <v>2</v>
      </c>
      <c r="I17" s="81">
        <v>103.3</v>
      </c>
      <c r="J17" s="79">
        <v>1395722</v>
      </c>
    </row>
    <row r="18" spans="2:10" ht="19">
      <c r="B18" s="52" t="s">
        <v>46</v>
      </c>
      <c r="C18" s="31">
        <v>43.8</v>
      </c>
      <c r="D18" s="31">
        <v>6.6</v>
      </c>
      <c r="E18" s="83">
        <v>3891</v>
      </c>
      <c r="F18" s="31">
        <v>43.42</v>
      </c>
      <c r="G18" s="31">
        <v>71.44</v>
      </c>
      <c r="H18" s="31">
        <v>4</v>
      </c>
      <c r="I18" s="81">
        <v>125.6</v>
      </c>
      <c r="J18" s="79">
        <v>1402054</v>
      </c>
    </row>
    <row r="19" spans="2:10" ht="19">
      <c r="B19" s="52" t="s">
        <v>56</v>
      </c>
      <c r="C19" s="31">
        <v>70</v>
      </c>
      <c r="D19" s="31">
        <v>21.1</v>
      </c>
      <c r="E19" s="78"/>
      <c r="F19" s="31">
        <v>63.7</v>
      </c>
      <c r="G19" s="31">
        <v>0</v>
      </c>
      <c r="H19" s="31">
        <v>0</v>
      </c>
      <c r="I19" s="81">
        <v>259.60000000000002</v>
      </c>
      <c r="J19" s="79">
        <v>1435138</v>
      </c>
    </row>
    <row r="20" spans="2:10" ht="19">
      <c r="B20" s="52" t="s">
        <v>9</v>
      </c>
      <c r="C20" s="31">
        <v>51.8</v>
      </c>
      <c r="D20" s="31">
        <v>11</v>
      </c>
      <c r="E20" s="83">
        <v>4146</v>
      </c>
      <c r="F20" s="31">
        <v>45.3</v>
      </c>
      <c r="G20" s="31">
        <v>25.13</v>
      </c>
      <c r="H20" s="31">
        <v>7</v>
      </c>
      <c r="I20" s="81">
        <v>277.89999999999998</v>
      </c>
      <c r="J20" s="79">
        <v>1770071</v>
      </c>
    </row>
    <row r="21" spans="2:10" ht="19">
      <c r="B21" s="52" t="s">
        <v>33</v>
      </c>
      <c r="C21" s="31">
        <v>44.4</v>
      </c>
      <c r="D21" s="31">
        <v>6.9</v>
      </c>
      <c r="E21" s="83">
        <v>4251</v>
      </c>
      <c r="F21" s="31">
        <v>18.96</v>
      </c>
      <c r="G21" s="31">
        <v>36.49</v>
      </c>
      <c r="H21" s="31">
        <v>13</v>
      </c>
      <c r="I21" s="81">
        <v>241.4</v>
      </c>
      <c r="J21" s="79">
        <v>1964726</v>
      </c>
    </row>
    <row r="22" spans="2:10" s="93" customFormat="1" ht="19">
      <c r="B22" s="52" t="s">
        <v>17</v>
      </c>
      <c r="C22" s="31">
        <v>48.8</v>
      </c>
      <c r="D22" s="31">
        <v>9.3000000000000007</v>
      </c>
      <c r="E22" s="83">
        <v>4685</v>
      </c>
      <c r="F22" s="31">
        <v>23.63</v>
      </c>
      <c r="G22" s="31">
        <v>28.12</v>
      </c>
      <c r="H22" s="31">
        <v>16</v>
      </c>
      <c r="I22" s="81">
        <v>282.8</v>
      </c>
      <c r="J22" s="79">
        <v>1978379</v>
      </c>
    </row>
    <row r="23" spans="2:10" ht="19">
      <c r="B23" s="52" t="s">
        <v>25</v>
      </c>
      <c r="C23" s="31">
        <v>53.4</v>
      </c>
      <c r="D23" s="31">
        <v>11.9</v>
      </c>
      <c r="E23" s="83">
        <v>5642</v>
      </c>
      <c r="F23" s="31">
        <v>14.63</v>
      </c>
      <c r="G23" s="31">
        <v>22.74</v>
      </c>
      <c r="H23" s="31">
        <v>13</v>
      </c>
      <c r="I23" s="81">
        <v>780.5</v>
      </c>
      <c r="J23" s="79">
        <v>2114371</v>
      </c>
    </row>
    <row r="24" spans="2:10" ht="19">
      <c r="B24" s="52" t="s">
        <v>7</v>
      </c>
      <c r="C24" s="31">
        <v>63.4</v>
      </c>
      <c r="D24" s="31">
        <v>17.399999999999999</v>
      </c>
      <c r="E24" s="83">
        <v>4693</v>
      </c>
      <c r="F24" s="31">
        <v>59.23</v>
      </c>
      <c r="G24" s="31">
        <v>0.71</v>
      </c>
      <c r="H24" s="31">
        <v>20</v>
      </c>
      <c r="I24" s="81">
        <v>245</v>
      </c>
      <c r="J24" s="79">
        <v>2939690</v>
      </c>
    </row>
    <row r="25" spans="2:10" ht="19">
      <c r="B25" s="52" t="s">
        <v>8</v>
      </c>
      <c r="C25" s="31">
        <v>54.3</v>
      </c>
      <c r="D25" s="31">
        <v>12.4</v>
      </c>
      <c r="E25" s="83">
        <v>4890</v>
      </c>
      <c r="F25" s="31">
        <v>28.92</v>
      </c>
      <c r="G25" s="31">
        <v>15.42</v>
      </c>
      <c r="H25" s="31">
        <v>33</v>
      </c>
      <c r="I25" s="81">
        <v>414.6</v>
      </c>
      <c r="J25" s="79">
        <v>2940546</v>
      </c>
    </row>
    <row r="26" spans="2:10" ht="19">
      <c r="B26" s="52" t="s">
        <v>12</v>
      </c>
      <c r="C26" s="31">
        <v>60.4</v>
      </c>
      <c r="D26" s="31">
        <v>15.8</v>
      </c>
      <c r="E26" s="83">
        <v>4724</v>
      </c>
      <c r="F26" s="31">
        <v>50.78</v>
      </c>
      <c r="G26" s="31">
        <v>4.04</v>
      </c>
      <c r="H26" s="31">
        <v>23</v>
      </c>
      <c r="I26" s="81">
        <v>645.29999999999995</v>
      </c>
      <c r="J26" s="79">
        <v>3067732</v>
      </c>
    </row>
    <row r="27" spans="2:10" ht="19">
      <c r="B27" s="52" t="s">
        <v>35</v>
      </c>
      <c r="C27" s="31">
        <v>49.9</v>
      </c>
      <c r="D27" s="31">
        <v>9.9</v>
      </c>
      <c r="E27" s="83">
        <v>5296</v>
      </c>
      <c r="F27" s="31">
        <v>9.5399999999999991</v>
      </c>
      <c r="G27" s="31">
        <v>18.829999999999998</v>
      </c>
      <c r="H27" s="31">
        <v>10</v>
      </c>
      <c r="I27" s="81">
        <v>454</v>
      </c>
      <c r="J27" s="79">
        <v>3194176</v>
      </c>
    </row>
    <row r="28" spans="2:10" ht="19">
      <c r="B28" s="52" t="s">
        <v>14</v>
      </c>
      <c r="C28" s="31">
        <v>47.8</v>
      </c>
      <c r="D28" s="31">
        <v>8.8000000000000007</v>
      </c>
      <c r="E28" s="83">
        <v>4331</v>
      </c>
      <c r="F28" s="31">
        <v>34.049999999999997</v>
      </c>
      <c r="G28" s="31">
        <v>31.27</v>
      </c>
      <c r="H28" s="31">
        <v>21</v>
      </c>
      <c r="I28" s="81">
        <v>286.5</v>
      </c>
      <c r="J28" s="79">
        <v>3207004</v>
      </c>
    </row>
    <row r="29" spans="2:10" ht="19">
      <c r="B29" s="52" t="s">
        <v>39</v>
      </c>
      <c r="C29" s="31">
        <v>48.6</v>
      </c>
      <c r="D29" s="31">
        <v>9.1999999999999993</v>
      </c>
      <c r="E29" s="83">
        <v>4887</v>
      </c>
      <c r="F29" s="31">
        <v>12.26</v>
      </c>
      <c r="G29" s="31">
        <v>40.99</v>
      </c>
      <c r="H29" s="31">
        <v>7</v>
      </c>
      <c r="I29" s="81">
        <v>241.8</v>
      </c>
      <c r="J29" s="79">
        <v>3417734</v>
      </c>
    </row>
    <row r="30" spans="2:10" ht="19">
      <c r="B30" s="94" t="s">
        <v>44</v>
      </c>
      <c r="C30" s="89">
        <v>49</v>
      </c>
      <c r="D30" s="89">
        <v>9.4</v>
      </c>
      <c r="E30" s="90">
        <v>3988</v>
      </c>
      <c r="F30" s="89">
        <v>50.39</v>
      </c>
      <c r="G30" s="89">
        <v>37.85</v>
      </c>
      <c r="H30" s="89">
        <v>9</v>
      </c>
      <c r="I30" s="91">
        <v>150</v>
      </c>
      <c r="J30" s="92">
        <v>3617176</v>
      </c>
    </row>
    <row r="31" spans="2:10" ht="19">
      <c r="B31" s="52" t="s">
        <v>6</v>
      </c>
      <c r="C31" s="31">
        <v>59.6</v>
      </c>
      <c r="D31" s="31">
        <v>15.3</v>
      </c>
      <c r="E31" s="83">
        <v>4912</v>
      </c>
      <c r="F31" s="31">
        <v>36.549999999999997</v>
      </c>
      <c r="G31" s="31">
        <v>5.88</v>
      </c>
      <c r="H31" s="31">
        <v>35</v>
      </c>
      <c r="I31" s="81">
        <v>419.7</v>
      </c>
      <c r="J31" s="79">
        <v>4053824</v>
      </c>
    </row>
    <row r="32" spans="2:10" ht="19">
      <c r="B32" s="52" t="s">
        <v>47</v>
      </c>
      <c r="C32" s="31">
        <v>48.4</v>
      </c>
      <c r="D32" s="31">
        <v>9.1</v>
      </c>
      <c r="E32" s="83">
        <v>3830</v>
      </c>
      <c r="F32" s="31">
        <v>27.55</v>
      </c>
      <c r="G32" s="31">
        <v>10.91</v>
      </c>
      <c r="H32" s="31">
        <v>12</v>
      </c>
      <c r="I32" s="81">
        <v>342.4</v>
      </c>
      <c r="J32" s="79">
        <v>4233358</v>
      </c>
    </row>
    <row r="33" spans="2:10" ht="19">
      <c r="B33" s="52" t="s">
        <v>20</v>
      </c>
      <c r="C33" s="31">
        <v>55.6</v>
      </c>
      <c r="D33" s="31">
        <v>13.1</v>
      </c>
      <c r="E33" s="83">
        <v>4383</v>
      </c>
      <c r="F33" s="31">
        <v>48.98</v>
      </c>
      <c r="G33" s="31">
        <v>8.83</v>
      </c>
      <c r="H33" s="31">
        <v>22</v>
      </c>
      <c r="I33" s="81">
        <v>214.1</v>
      </c>
      <c r="J33" s="79">
        <v>4526154</v>
      </c>
    </row>
    <row r="34" spans="2:10" ht="19">
      <c r="B34" s="52" t="s">
        <v>18</v>
      </c>
      <c r="C34" s="31">
        <v>66.400000000000006</v>
      </c>
      <c r="D34" s="31">
        <v>19.100000000000001</v>
      </c>
      <c r="E34" s="83">
        <v>4725</v>
      </c>
      <c r="F34" s="31">
        <v>60.09</v>
      </c>
      <c r="G34" s="31">
        <v>0.2</v>
      </c>
      <c r="H34" s="31">
        <v>16</v>
      </c>
      <c r="I34" s="81">
        <v>628.6</v>
      </c>
      <c r="J34" s="79">
        <v>4573749</v>
      </c>
    </row>
    <row r="35" spans="2:10" ht="19">
      <c r="B35" s="52" t="s">
        <v>10</v>
      </c>
      <c r="C35" s="31">
        <v>62.8</v>
      </c>
      <c r="D35" s="31">
        <v>17.100000000000001</v>
      </c>
      <c r="E35" s="83">
        <v>4660</v>
      </c>
      <c r="F35" s="31">
        <v>58.28</v>
      </c>
      <c r="G35" s="31">
        <v>0.56999999999999995</v>
      </c>
      <c r="H35" s="31">
        <v>23</v>
      </c>
      <c r="I35" s="81">
        <v>409.1</v>
      </c>
      <c r="J35" s="79">
        <v>5108468</v>
      </c>
    </row>
    <row r="36" spans="2:10" s="93" customFormat="1" ht="19">
      <c r="B36" s="52" t="s">
        <v>30</v>
      </c>
      <c r="C36" s="31">
        <v>62.4</v>
      </c>
      <c r="D36" s="31">
        <v>16.899999999999999</v>
      </c>
      <c r="E36" s="83">
        <v>4624</v>
      </c>
      <c r="F36" s="31">
        <v>49.84</v>
      </c>
      <c r="G36" s="31">
        <v>1.5</v>
      </c>
      <c r="H36" s="31">
        <v>18</v>
      </c>
      <c r="I36" s="81">
        <v>491.3</v>
      </c>
      <c r="J36" s="79">
        <v>5373555</v>
      </c>
    </row>
    <row r="37" spans="2:10" ht="19">
      <c r="B37" s="52" t="s">
        <v>26</v>
      </c>
      <c r="C37" s="31">
        <v>41.2</v>
      </c>
      <c r="D37" s="31">
        <v>5.0999999999999996</v>
      </c>
      <c r="E37" s="83">
        <v>3968</v>
      </c>
      <c r="F37" s="31">
        <v>27.44</v>
      </c>
      <c r="G37" s="31">
        <v>43.43</v>
      </c>
      <c r="H37" s="31">
        <v>12</v>
      </c>
      <c r="I37" s="81">
        <v>280.60000000000002</v>
      </c>
      <c r="J37" s="79">
        <v>5737915</v>
      </c>
    </row>
    <row r="38" spans="2:10" ht="19">
      <c r="B38" s="52" t="s">
        <v>40</v>
      </c>
      <c r="C38" s="31">
        <v>45.1</v>
      </c>
      <c r="D38" s="31">
        <v>7.3</v>
      </c>
      <c r="E38" s="83">
        <v>4960</v>
      </c>
      <c r="F38" s="31">
        <v>15.97</v>
      </c>
      <c r="G38" s="31">
        <v>67.3</v>
      </c>
      <c r="H38" s="31">
        <v>22</v>
      </c>
      <c r="I38" s="81">
        <v>492.5</v>
      </c>
      <c r="J38" s="79">
        <v>5877610</v>
      </c>
    </row>
    <row r="39" spans="2:10" ht="19">
      <c r="B39" s="52" t="s">
        <v>29</v>
      </c>
      <c r="C39" s="31">
        <v>43.1</v>
      </c>
      <c r="D39" s="31">
        <v>6.2</v>
      </c>
      <c r="E39" s="83">
        <v>4023</v>
      </c>
      <c r="F39" s="31">
        <v>32.64</v>
      </c>
      <c r="G39" s="31">
        <v>45.79</v>
      </c>
      <c r="H39" s="31">
        <v>13</v>
      </c>
      <c r="I39" s="81">
        <v>297</v>
      </c>
      <c r="J39" s="79">
        <v>5910955</v>
      </c>
    </row>
    <row r="40" spans="2:10" ht="19">
      <c r="B40" s="52" t="s">
        <v>50</v>
      </c>
      <c r="C40" s="31">
        <v>54.2</v>
      </c>
      <c r="D40" s="31">
        <v>12.3</v>
      </c>
      <c r="E40" s="83">
        <v>4267</v>
      </c>
      <c r="F40" s="31">
        <v>44.64</v>
      </c>
      <c r="G40" s="31">
        <v>20.61</v>
      </c>
      <c r="H40" s="31">
        <v>19</v>
      </c>
      <c r="I40" s="81">
        <v>398.5</v>
      </c>
      <c r="J40" s="79">
        <v>6180253</v>
      </c>
    </row>
    <row r="41" spans="2:10" ht="19">
      <c r="B41" s="52" t="s">
        <v>11</v>
      </c>
      <c r="C41" s="31">
        <v>54.5</v>
      </c>
      <c r="D41" s="31">
        <v>12.5</v>
      </c>
      <c r="E41" s="83">
        <v>4545</v>
      </c>
      <c r="F41" s="31">
        <v>42.23</v>
      </c>
      <c r="G41" s="31">
        <v>12.67</v>
      </c>
      <c r="H41" s="31">
        <v>29</v>
      </c>
      <c r="I41" s="81">
        <v>488</v>
      </c>
      <c r="J41" s="79">
        <v>6196156</v>
      </c>
    </row>
    <row r="42" spans="2:10" ht="19">
      <c r="B42" s="52" t="s">
        <v>19</v>
      </c>
      <c r="C42" s="31">
        <v>51.7</v>
      </c>
      <c r="D42" s="31">
        <v>10.9</v>
      </c>
      <c r="E42" s="83">
        <v>4267</v>
      </c>
      <c r="F42" s="31">
        <v>41.72</v>
      </c>
      <c r="G42" s="31">
        <v>21.93</v>
      </c>
      <c r="H42" s="31">
        <v>23</v>
      </c>
      <c r="I42" s="81">
        <v>306.2</v>
      </c>
      <c r="J42" s="79">
        <v>6862199</v>
      </c>
    </row>
    <row r="43" spans="2:10" ht="19">
      <c r="B43" s="94" t="s">
        <v>54</v>
      </c>
      <c r="C43" s="89">
        <v>47.9</v>
      </c>
      <c r="D43" s="89">
        <v>8.8000000000000007</v>
      </c>
      <c r="E43" s="90">
        <v>3944</v>
      </c>
      <c r="F43" s="89">
        <v>47.88</v>
      </c>
      <c r="G43" s="89">
        <v>51.05</v>
      </c>
      <c r="H43" s="89">
        <v>6</v>
      </c>
      <c r="I43" s="91">
        <v>322</v>
      </c>
      <c r="J43" s="92">
        <v>7001399</v>
      </c>
    </row>
    <row r="44" spans="2:10" ht="19">
      <c r="B44" s="52" t="s">
        <v>13</v>
      </c>
      <c r="C44" s="31">
        <v>57.6</v>
      </c>
      <c r="D44" s="31">
        <v>14.2</v>
      </c>
      <c r="E44" s="83">
        <v>4486</v>
      </c>
      <c r="F44" s="31">
        <v>54.22</v>
      </c>
      <c r="G44" s="31">
        <v>4.6100000000000003</v>
      </c>
      <c r="H44" s="31">
        <v>26</v>
      </c>
      <c r="I44" s="81">
        <v>621.6</v>
      </c>
      <c r="J44" s="79">
        <v>7126489</v>
      </c>
    </row>
    <row r="45" spans="2:10" ht="19">
      <c r="B45" s="52" t="s">
        <v>41</v>
      </c>
      <c r="C45" s="31">
        <v>60.3</v>
      </c>
      <c r="D45" s="31">
        <v>15.7</v>
      </c>
      <c r="E45" s="83">
        <v>5755</v>
      </c>
      <c r="F45" s="31">
        <v>13.61</v>
      </c>
      <c r="G45" s="31">
        <v>4.76</v>
      </c>
      <c r="H45" s="31">
        <v>12</v>
      </c>
      <c r="I45" s="81">
        <v>431.5</v>
      </c>
      <c r="J45" s="79">
        <v>7431344</v>
      </c>
    </row>
    <row r="46" spans="2:10" ht="19">
      <c r="B46" s="52" t="s">
        <v>49</v>
      </c>
      <c r="C46" s="31">
        <v>48.3</v>
      </c>
      <c r="D46" s="31">
        <v>9.1</v>
      </c>
      <c r="E46" s="83">
        <v>3467</v>
      </c>
      <c r="F46" s="31">
        <v>38.78</v>
      </c>
      <c r="G46" s="31">
        <v>15.57</v>
      </c>
      <c r="H46" s="31">
        <v>10</v>
      </c>
      <c r="I46" s="81">
        <v>375.6</v>
      </c>
      <c r="J46" s="79">
        <v>7812880</v>
      </c>
    </row>
    <row r="47" spans="2:10" ht="19">
      <c r="B47" s="52" t="s">
        <v>37</v>
      </c>
      <c r="C47" s="31">
        <v>55.1</v>
      </c>
      <c r="D47" s="31">
        <v>12.8</v>
      </c>
      <c r="E47" s="83">
        <v>4354</v>
      </c>
      <c r="F47" s="31">
        <v>44.39</v>
      </c>
      <c r="G47" s="31">
        <v>14.85</v>
      </c>
      <c r="H47" s="31">
        <v>22</v>
      </c>
      <c r="I47" s="81">
        <v>234</v>
      </c>
      <c r="J47" s="79">
        <v>8715698</v>
      </c>
    </row>
    <row r="48" spans="2:10" ht="19">
      <c r="B48" s="94" t="s">
        <v>45</v>
      </c>
      <c r="C48" s="89">
        <v>52.7</v>
      </c>
      <c r="D48" s="89">
        <v>11.5</v>
      </c>
      <c r="E48" s="90">
        <v>4056</v>
      </c>
      <c r="F48" s="89">
        <v>47.15</v>
      </c>
      <c r="G48" s="89">
        <v>23.73</v>
      </c>
      <c r="H48" s="89">
        <v>15</v>
      </c>
      <c r="I48" s="91">
        <v>202.9</v>
      </c>
      <c r="J48" s="92">
        <v>9290841</v>
      </c>
    </row>
    <row r="49" spans="2:10" ht="19">
      <c r="B49" s="52" t="s">
        <v>15</v>
      </c>
      <c r="C49" s="31">
        <v>44.4</v>
      </c>
      <c r="D49" s="31">
        <v>6.9</v>
      </c>
      <c r="E49" s="83">
        <v>4018</v>
      </c>
      <c r="F49" s="31">
        <v>32.840000000000003</v>
      </c>
      <c r="G49" s="31">
        <v>60.66</v>
      </c>
      <c r="H49" s="31">
        <v>12</v>
      </c>
      <c r="I49" s="81">
        <v>461</v>
      </c>
      <c r="J49" s="79">
        <v>10037261</v>
      </c>
    </row>
    <row r="50" spans="2:10" ht="19">
      <c r="B50" s="52" t="s">
        <v>31</v>
      </c>
      <c r="C50" s="31">
        <v>59</v>
      </c>
      <c r="D50" s="31">
        <v>15</v>
      </c>
      <c r="E50" s="83">
        <v>4466</v>
      </c>
      <c r="F50" s="31">
        <v>50.45</v>
      </c>
      <c r="G50" s="31">
        <v>5.03</v>
      </c>
      <c r="H50" s="31">
        <v>23</v>
      </c>
      <c r="I50" s="81">
        <v>405.1</v>
      </c>
      <c r="J50" s="79">
        <v>10835491</v>
      </c>
    </row>
    <row r="51" spans="2:10" ht="19">
      <c r="B51" s="52" t="s">
        <v>16</v>
      </c>
      <c r="C51" s="31">
        <v>63.5</v>
      </c>
      <c r="D51" s="31">
        <v>17.5</v>
      </c>
      <c r="E51" s="83">
        <v>4661</v>
      </c>
      <c r="F51" s="31">
        <v>50.72</v>
      </c>
      <c r="G51" s="31">
        <v>0.76</v>
      </c>
      <c r="H51" s="31">
        <v>27</v>
      </c>
      <c r="I51" s="81">
        <v>367</v>
      </c>
      <c r="J51" s="79">
        <v>11029227</v>
      </c>
    </row>
    <row r="52" spans="2:10" ht="19">
      <c r="B52" s="52" t="s">
        <v>28</v>
      </c>
      <c r="C52" s="31">
        <v>50.7</v>
      </c>
      <c r="D52" s="31">
        <v>10.4</v>
      </c>
      <c r="E52" s="83">
        <v>4139</v>
      </c>
      <c r="F52" s="31">
        <v>39.159999999999997</v>
      </c>
      <c r="G52" s="31">
        <v>26.63</v>
      </c>
      <c r="H52" s="31">
        <v>18</v>
      </c>
      <c r="I52" s="81">
        <v>293.60000000000002</v>
      </c>
      <c r="J52" s="79">
        <v>11785935</v>
      </c>
    </row>
    <row r="53" spans="2:10" ht="19">
      <c r="B53" s="52" t="s">
        <v>21</v>
      </c>
      <c r="C53" s="31">
        <v>51.8</v>
      </c>
      <c r="D53" s="31">
        <v>11</v>
      </c>
      <c r="E53" s="83">
        <v>4380</v>
      </c>
      <c r="F53" s="31">
        <v>39.32</v>
      </c>
      <c r="G53" s="31">
        <v>21.75</v>
      </c>
      <c r="H53" s="31">
        <v>30</v>
      </c>
      <c r="I53" s="81">
        <v>287.3</v>
      </c>
      <c r="J53" s="79">
        <v>12549689</v>
      </c>
    </row>
    <row r="54" spans="2:10" ht="19">
      <c r="B54" s="52" t="s">
        <v>32</v>
      </c>
      <c r="C54" s="31">
        <v>48.8</v>
      </c>
      <c r="D54" s="31">
        <v>9.3000000000000007</v>
      </c>
      <c r="E54" s="83">
        <v>3939</v>
      </c>
      <c r="F54" s="31">
        <v>43.02</v>
      </c>
      <c r="G54" s="31">
        <v>35.840000000000003</v>
      </c>
      <c r="H54" s="31">
        <v>23</v>
      </c>
      <c r="I54" s="81">
        <v>279.89999999999998</v>
      </c>
      <c r="J54" s="79">
        <v>12961683</v>
      </c>
    </row>
    <row r="55" spans="2:10" ht="19">
      <c r="B55" s="52" t="s">
        <v>52</v>
      </c>
      <c r="C55" s="31">
        <v>45.4</v>
      </c>
      <c r="D55" s="31">
        <v>7.4</v>
      </c>
      <c r="E55" s="83">
        <v>3904</v>
      </c>
      <c r="F55" s="31">
        <v>41.9</v>
      </c>
      <c r="G55" s="31">
        <v>55.32</v>
      </c>
      <c r="H55" s="31">
        <v>19</v>
      </c>
      <c r="I55" s="81">
        <v>429.3</v>
      </c>
      <c r="J55" s="79">
        <v>19571216</v>
      </c>
    </row>
    <row r="56" spans="2:10" ht="19">
      <c r="B56" s="52" t="s">
        <v>34</v>
      </c>
      <c r="C56" s="31">
        <v>70.7</v>
      </c>
      <c r="D56" s="31">
        <v>21.5</v>
      </c>
      <c r="E56" s="83">
        <v>4859</v>
      </c>
      <c r="F56" s="31">
        <v>54.57</v>
      </c>
      <c r="G56" s="31">
        <v>0.01</v>
      </c>
      <c r="H56" s="31">
        <v>10</v>
      </c>
      <c r="I56" s="81">
        <v>258.89999999999998</v>
      </c>
      <c r="J56" s="79">
        <v>22610726</v>
      </c>
    </row>
    <row r="57" spans="2:10" ht="19">
      <c r="B57" s="52" t="s">
        <v>24</v>
      </c>
      <c r="C57" s="31">
        <v>64.8</v>
      </c>
      <c r="D57" s="31">
        <v>18.2</v>
      </c>
      <c r="E57" s="83">
        <v>5137</v>
      </c>
      <c r="F57" s="31">
        <v>28.87</v>
      </c>
      <c r="G57" s="31">
        <v>1.36</v>
      </c>
      <c r="H57" s="31">
        <v>48</v>
      </c>
      <c r="I57" s="81">
        <v>431.9</v>
      </c>
      <c r="J57" s="79">
        <v>30503301</v>
      </c>
    </row>
    <row r="58" spans="2:10" ht="19">
      <c r="B58" s="53" t="s">
        <v>53</v>
      </c>
      <c r="C58" s="33">
        <v>59.4</v>
      </c>
      <c r="D58" s="33">
        <v>15.2</v>
      </c>
      <c r="E58" s="102">
        <v>5050</v>
      </c>
      <c r="F58" s="33">
        <v>22.2</v>
      </c>
      <c r="G58" s="33">
        <v>3.76</v>
      </c>
      <c r="H58" s="33">
        <v>14</v>
      </c>
      <c r="I58" s="82">
        <v>499.5</v>
      </c>
      <c r="J58" s="80">
        <v>38965193</v>
      </c>
    </row>
  </sheetData>
  <mergeCells count="1">
    <mergeCell ref="B1:D1"/>
  </mergeCells>
  <conditionalFormatting sqref="C8:C58">
    <cfRule type="colorScale" priority="29">
      <colorScale>
        <cfvo type="min"/>
        <cfvo type="percentile" val="50"/>
        <cfvo type="max"/>
        <color rgb="FF5A8AC6"/>
        <color rgb="FFFCFCFF"/>
        <color rgb="FFF8696B"/>
      </colorScale>
    </cfRule>
  </conditionalFormatting>
  <conditionalFormatting sqref="C8:C57">
    <cfRule type="colorScale" priority="31">
      <colorScale>
        <cfvo type="min"/>
        <cfvo type="percentile" val="50"/>
        <cfvo type="max"/>
        <color rgb="FF5A8AC6"/>
        <color rgb="FFFCFCFF"/>
        <color rgb="FFF8696B"/>
      </colorScale>
    </cfRule>
  </conditionalFormatting>
  <conditionalFormatting sqref="D8:D58">
    <cfRule type="colorScale" priority="30">
      <colorScale>
        <cfvo type="min"/>
        <cfvo type="percentile" val="50"/>
        <cfvo type="max"/>
        <color rgb="FF5A8AC6"/>
        <color rgb="FFFCFCFF"/>
        <color rgb="FFF8696B"/>
      </colorScale>
    </cfRule>
  </conditionalFormatting>
  <conditionalFormatting sqref="E8:E58">
    <cfRule type="colorScale" priority="27">
      <colorScale>
        <cfvo type="min"/>
        <cfvo type="percentile" val="50"/>
        <cfvo type="max"/>
        <color rgb="FF63BE7B"/>
        <color rgb="FFFFEB84"/>
        <color rgb="FFF8696B"/>
      </colorScale>
    </cfRule>
    <cfRule type="colorScale" priority="28">
      <colorScale>
        <cfvo type="min"/>
        <cfvo type="max"/>
        <color rgb="FFFFC000"/>
        <color theme="5"/>
      </colorScale>
    </cfRule>
  </conditionalFormatting>
  <conditionalFormatting sqref="F8:F58">
    <cfRule type="dataBar" priority="20">
      <dataBar>
        <cfvo type="min"/>
        <cfvo type="max"/>
        <color theme="3" tint="0.749992370372631"/>
      </dataBar>
      <extLst>
        <ext xmlns:x14="http://schemas.microsoft.com/office/spreadsheetml/2009/9/main" uri="{B025F937-C7B1-47D3-B67F-A62EFF666E3E}">
          <x14:id>{CDDE74E5-BD7A-8C47-A284-1E87B47EFC53}</x14:id>
        </ext>
      </extLst>
    </cfRule>
    <cfRule type="dataBar" priority="23">
      <dataBar>
        <cfvo type="min"/>
        <cfvo type="max"/>
        <color rgb="FF008AEF"/>
      </dataBar>
      <extLst>
        <ext xmlns:x14="http://schemas.microsoft.com/office/spreadsheetml/2009/9/main" uri="{B025F937-C7B1-47D3-B67F-A62EFF666E3E}">
          <x14:id>{C018B1FB-770E-DF4B-9E58-45F0909E2D9D}</x14:id>
        </ext>
      </extLst>
    </cfRule>
  </conditionalFormatting>
  <conditionalFormatting sqref="G8:G58">
    <cfRule type="dataBar" priority="21">
      <dataBar>
        <cfvo type="min"/>
        <cfvo type="max"/>
        <color theme="4" tint="0.79998168889431442"/>
      </dataBar>
      <extLst>
        <ext xmlns:x14="http://schemas.microsoft.com/office/spreadsheetml/2009/9/main" uri="{B025F937-C7B1-47D3-B67F-A62EFF666E3E}">
          <x14:id>{BB62E7E8-42F8-A645-9DA7-33A4EFBD448C}</x14:id>
        </ext>
      </extLst>
    </cfRule>
    <cfRule type="dataBar" priority="22">
      <dataBar>
        <cfvo type="min"/>
        <cfvo type="max"/>
        <color rgb="FF638EC6"/>
      </dataBar>
      <extLst>
        <ext xmlns:x14="http://schemas.microsoft.com/office/spreadsheetml/2009/9/main" uri="{B025F937-C7B1-47D3-B67F-A62EFF666E3E}">
          <x14:id>{0D079982-5B18-DC4D-8A5A-993D86F3C26F}</x14:id>
        </ext>
      </extLst>
    </cfRule>
  </conditionalFormatting>
  <conditionalFormatting sqref="J8:J58">
    <cfRule type="colorScale" priority="2">
      <colorScale>
        <cfvo type="min"/>
        <cfvo type="max"/>
        <color rgb="FFFCFCFF"/>
        <color rgb="FFF8696B"/>
      </colorScale>
    </cfRule>
  </conditionalFormatting>
  <conditionalFormatting sqref="I8:I58">
    <cfRule type="dataBar" priority="3">
      <dataBar>
        <cfvo type="min"/>
        <cfvo type="max"/>
        <color rgb="FF7030A0"/>
      </dataBar>
      <extLst>
        <ext xmlns:x14="http://schemas.microsoft.com/office/spreadsheetml/2009/9/main" uri="{B025F937-C7B1-47D3-B67F-A62EFF666E3E}">
          <x14:id>{8D8A3B60-F6CF-0F4C-AEA1-0112BB8AD1C9}</x14:id>
        </ext>
      </extLst>
    </cfRule>
  </conditionalFormatting>
  <pageMargins left="0.7" right="0.7" top="0.75" bottom="0.75" header="0.3" footer="0.3"/>
  <pageSetup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CDDE74E5-BD7A-8C47-A284-1E87B47EFC53}">
            <x14:dataBar minLength="0" maxLength="100" gradient="0">
              <x14:cfvo type="autoMin"/>
              <x14:cfvo type="autoMax"/>
              <x14:negativeFillColor rgb="FFFF0000"/>
              <x14:axisColor rgb="FF000000"/>
            </x14:dataBar>
          </x14:cfRule>
          <x14:cfRule type="dataBar" id="{C018B1FB-770E-DF4B-9E58-45F0909E2D9D}">
            <x14:dataBar minLength="0" maxLength="100" border="1" negativeBarBorderColorSameAsPositive="0">
              <x14:cfvo type="autoMin"/>
              <x14:cfvo type="autoMax"/>
              <x14:borderColor rgb="FF008AEF"/>
              <x14:negativeFillColor rgb="FFFF0000"/>
              <x14:negativeBorderColor rgb="FFFF0000"/>
              <x14:axisColor rgb="FF000000"/>
            </x14:dataBar>
          </x14:cfRule>
          <xm:sqref>F8:F58</xm:sqref>
        </x14:conditionalFormatting>
        <x14:conditionalFormatting xmlns:xm="http://schemas.microsoft.com/office/excel/2006/main">
          <x14:cfRule type="dataBar" id="{BB62E7E8-42F8-A645-9DA7-33A4EFBD448C}">
            <x14:dataBar minLength="0" maxLength="100" gradient="0">
              <x14:cfvo type="autoMin"/>
              <x14:cfvo type="autoMax"/>
              <x14:negativeFillColor rgb="FFFF0000"/>
              <x14:axisColor rgb="FF000000"/>
            </x14:dataBar>
          </x14:cfRule>
          <x14:cfRule type="dataBar" id="{0D079982-5B18-DC4D-8A5A-993D86F3C26F}">
            <x14:dataBar minLength="0" maxLength="100" border="1" negativeBarBorderColorSameAsPositive="0">
              <x14:cfvo type="autoMin"/>
              <x14:cfvo type="autoMax"/>
              <x14:borderColor rgb="FF638EC6"/>
              <x14:negativeFillColor rgb="FFFF0000"/>
              <x14:negativeBorderColor rgb="FFFF0000"/>
              <x14:axisColor rgb="FF000000"/>
            </x14:dataBar>
          </x14:cfRule>
          <xm:sqref>G8:G58</xm:sqref>
        </x14:conditionalFormatting>
        <x14:conditionalFormatting xmlns:xm="http://schemas.microsoft.com/office/excel/2006/main">
          <x14:cfRule type="dataBar" id="{8D8A3B60-F6CF-0F4C-AEA1-0112BB8AD1C9}">
            <x14:dataBar minLength="0" maxLength="100">
              <x14:cfvo type="autoMin"/>
              <x14:cfvo type="autoMax"/>
              <x14:negativeFillColor rgb="FFFF0000"/>
              <x14:axisColor rgb="FF000000"/>
            </x14:dataBar>
          </x14:cfRule>
          <xm:sqref>I8:I58</xm:sqref>
        </x14:conditionalFormatting>
        <x14:conditionalFormatting xmlns:xm="http://schemas.microsoft.com/office/excel/2006/main">
          <x14:cfRule type="iconSet" priority="9" id="{264D6EB1-DC9D-174C-8B24-D37D3E027C51}">
            <x14:iconSet iconSet="3Signs" custom="1">
              <x14:cfvo type="percent">
                <xm:f>0</xm:f>
              </x14:cfvo>
              <x14:cfvo type="num">
                <xm:f>10</xm:f>
              </x14:cfvo>
              <x14:cfvo type="num">
                <xm:f>25</xm:f>
              </x14:cfvo>
              <x14:cfIcon iconSet="3Flags" iconId="2"/>
              <x14:cfIcon iconSet="3Flags" iconId="1"/>
              <x14:cfIcon iconSet="3Flags" iconId="0"/>
            </x14:iconSet>
          </x14:cfRule>
          <xm:sqref>H8:H57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B50BD-5D84-F240-88AA-3F1440858A62}">
  <sheetPr codeName="Sheet6">
    <tabColor theme="9" tint="0.59999389629810485"/>
  </sheetPr>
  <dimension ref="B1:H61"/>
  <sheetViews>
    <sheetView zoomScale="90" workbookViewId="0">
      <selection activeCell="B7" sqref="B7"/>
    </sheetView>
  </sheetViews>
  <sheetFormatPr baseColWidth="10" defaultColWidth="11" defaultRowHeight="16"/>
  <cols>
    <col min="1" max="1" width="11" style="43"/>
    <col min="2" max="6" width="28.6640625" style="44" customWidth="1"/>
    <col min="7" max="7" width="28.83203125" style="44" customWidth="1"/>
    <col min="8" max="8" width="30.33203125" style="43" bestFit="1" customWidth="1"/>
    <col min="9" max="9" width="37.6640625" style="43" bestFit="1" customWidth="1"/>
    <col min="10" max="10" width="32" style="43" bestFit="1" customWidth="1"/>
    <col min="11" max="11" width="18.83203125" style="43" bestFit="1" customWidth="1"/>
    <col min="12" max="12" width="20.33203125" style="43" bestFit="1" customWidth="1"/>
    <col min="13" max="13" width="14.1640625" style="43" bestFit="1" customWidth="1"/>
    <col min="14" max="16384" width="11" style="43"/>
  </cols>
  <sheetData>
    <row r="1" spans="2:8" ht="45">
      <c r="B1" s="106" t="s">
        <v>132</v>
      </c>
      <c r="C1" s="106"/>
      <c r="D1" s="106"/>
      <c r="E1" s="106"/>
      <c r="F1" s="87"/>
      <c r="G1" s="45"/>
      <c r="H1" s="42"/>
    </row>
    <row r="4" spans="2:8" ht="27">
      <c r="B4" s="74" t="s">
        <v>0</v>
      </c>
      <c r="C4" s="74" t="s">
        <v>123</v>
      </c>
      <c r="D4" s="74" t="s">
        <v>124</v>
      </c>
      <c r="E4" s="74" t="s">
        <v>125</v>
      </c>
      <c r="F4" s="74" t="s">
        <v>129</v>
      </c>
      <c r="H4" s="60" t="s">
        <v>126</v>
      </c>
    </row>
    <row r="5" spans="2:8" ht="24">
      <c r="B5" s="95" t="s">
        <v>54</v>
      </c>
      <c r="C5" s="58">
        <f>_xlfn.XLOOKUP(B5,Income_Expenses[State],Income_Expenses[Monthly Rent],"Type in State")</f>
        <v>1811</v>
      </c>
      <c r="D5" s="58">
        <f>_xlfn.XLOOKUP(B5,Income_Expenses[State],Income_Expenses[Monthly Grocery],"Type in State")</f>
        <v>406.21</v>
      </c>
      <c r="E5" s="58">
        <f>_xlfn.XLOOKUP(B5,Income_Expenses[State],Income_Expenses[Monthly Income],"Type in State")</f>
        <v>5281.666666666667</v>
      </c>
      <c r="F5" s="58">
        <f>_xlfn.XLOOKUP(B5,Income_Expenses[State],Income_Expenses[Annual Income],"Type in State")</f>
        <v>63380</v>
      </c>
      <c r="H5" s="59">
        <f>IF(OR(C5=0,D5=0),"Missing data",C5+D5)</f>
        <v>2217.21</v>
      </c>
    </row>
    <row r="6" spans="2:8" ht="27">
      <c r="B6" s="86"/>
      <c r="C6" s="58" t="str">
        <f>_xlfn.XLOOKUP(B6,Income_Expenses[State],Income_Expenses[Monthly Rent],"Type in State")</f>
        <v>Type in State</v>
      </c>
      <c r="D6" s="58" t="str">
        <f>_xlfn.XLOOKUP(B6,Income_Expenses[State],Income_Expenses[Monthly Grocery],"Type in State")</f>
        <v>Type in State</v>
      </c>
      <c r="E6" s="58" t="str">
        <f>_xlfn.XLOOKUP(B6,Income_Expenses[State],Income_Expenses[Monthly Income],"Type in State")</f>
        <v>Type in State</v>
      </c>
      <c r="F6" s="58" t="str">
        <f>_xlfn.XLOOKUP(B6,Income_Expenses[State],Income_Expenses[Annual Income],"Type in State")</f>
        <v>Type in State</v>
      </c>
      <c r="H6" s="60" t="s">
        <v>127</v>
      </c>
    </row>
    <row r="7" spans="2:8" ht="24">
      <c r="B7" s="86"/>
      <c r="C7" s="58" t="str">
        <f>_xlfn.XLOOKUP(B7,Income_Expenses[State],Income_Expenses[Monthly Rent],"Type in State")</f>
        <v>Type in State</v>
      </c>
      <c r="D7" s="58" t="str">
        <f>_xlfn.XLOOKUP(B7,Income_Expenses[State],Income_Expenses[Monthly Grocery],"Type in State")</f>
        <v>Type in State</v>
      </c>
      <c r="E7" s="58" t="str">
        <f>_xlfn.XLOOKUP(B7,Income_Expenses[State],Income_Expenses[Monthly Income],"Type in State")</f>
        <v>Type in State</v>
      </c>
      <c r="F7" s="58" t="str">
        <f>_xlfn.XLOOKUP(B7,Income_Expenses[State],Income_Expenses[Annual Income],"Type in State")</f>
        <v>Type in State</v>
      </c>
      <c r="H7" s="59">
        <f>IF(OR(C5=0,D5=0),"Missing data",E5-(C5+D5))</f>
        <v>3064.4566666666669</v>
      </c>
    </row>
    <row r="8" spans="2:8" ht="23.25" customHeight="1"/>
    <row r="10" spans="2:8" ht="20">
      <c r="B10" s="75" t="s">
        <v>0</v>
      </c>
      <c r="C10" s="76" t="s">
        <v>123</v>
      </c>
      <c r="D10" s="76" t="s">
        <v>124</v>
      </c>
      <c r="E10" s="76" t="s">
        <v>125</v>
      </c>
      <c r="F10" s="77" t="s">
        <v>129</v>
      </c>
    </row>
    <row r="11" spans="2:8">
      <c r="B11" s="34" t="s">
        <v>10</v>
      </c>
      <c r="C11" s="35">
        <v>1064</v>
      </c>
      <c r="D11" s="36">
        <v>397.39</v>
      </c>
      <c r="E11" s="35">
        <f>Income_Expenses[[#This Row],[Annual Income]]/12</f>
        <v>4716.5</v>
      </c>
      <c r="F11" s="37">
        <v>56598</v>
      </c>
    </row>
    <row r="12" spans="2:8">
      <c r="B12" s="34" t="s">
        <v>51</v>
      </c>
      <c r="C12" s="35"/>
      <c r="D12" s="36">
        <v>483.24</v>
      </c>
      <c r="E12" s="35">
        <f>Income_Expenses[[#This Row],[Annual Income]]/12</f>
        <v>6349.25</v>
      </c>
      <c r="F12" s="37">
        <v>76191</v>
      </c>
    </row>
    <row r="13" spans="2:8">
      <c r="B13" s="34" t="s">
        <v>41</v>
      </c>
      <c r="C13" s="35">
        <v>1491</v>
      </c>
      <c r="D13" s="36">
        <v>302.8</v>
      </c>
      <c r="E13" s="35">
        <f>Income_Expenses[[#This Row],[Annual Income]]/12</f>
        <v>5347.666666666667</v>
      </c>
      <c r="F13" s="37">
        <v>64172</v>
      </c>
    </row>
    <row r="14" spans="2:8">
      <c r="B14" s="34" t="s">
        <v>12</v>
      </c>
      <c r="C14" s="35">
        <v>1025</v>
      </c>
      <c r="D14" s="36">
        <v>282.45999999999998</v>
      </c>
      <c r="E14" s="35">
        <f>Income_Expenses[[#This Row],[Annual Income]]/12</f>
        <v>4263.666666666667</v>
      </c>
      <c r="F14" s="37">
        <v>51164</v>
      </c>
    </row>
    <row r="15" spans="2:8">
      <c r="B15" s="34" t="s">
        <v>53</v>
      </c>
      <c r="C15" s="35">
        <v>1958</v>
      </c>
      <c r="D15" s="36">
        <v>370.96</v>
      </c>
      <c r="E15" s="35">
        <f>Income_Expenses[[#This Row],[Annual Income]]/12</f>
        <v>6269.583333333333</v>
      </c>
      <c r="F15" s="37">
        <v>75235</v>
      </c>
    </row>
    <row r="16" spans="2:8">
      <c r="B16" s="34" t="s">
        <v>40</v>
      </c>
      <c r="C16" s="35">
        <v>1635</v>
      </c>
      <c r="D16" s="36">
        <v>326.92</v>
      </c>
      <c r="E16" s="35">
        <f>Income_Expenses[[#This Row],[Annual Income]]/12</f>
        <v>6309.166666666667</v>
      </c>
      <c r="F16" s="37">
        <v>75710</v>
      </c>
    </row>
    <row r="17" spans="2:6">
      <c r="B17" s="34" t="s">
        <v>44</v>
      </c>
      <c r="C17" s="35">
        <v>1644</v>
      </c>
      <c r="D17" s="36">
        <v>343.3</v>
      </c>
      <c r="E17" s="35">
        <f>Income_Expenses[[#This Row],[Annual Income]]/12</f>
        <v>6825.75</v>
      </c>
      <c r="F17" s="37">
        <v>81909</v>
      </c>
    </row>
    <row r="18" spans="2:6">
      <c r="B18" s="34" t="s">
        <v>36</v>
      </c>
      <c r="C18" s="35">
        <v>1621</v>
      </c>
      <c r="D18" s="36">
        <v>380.39</v>
      </c>
      <c r="E18" s="35">
        <f>Income_Expenses[[#This Row],[Annual Income]]/12</f>
        <v>5939.916666666667</v>
      </c>
      <c r="F18" s="37">
        <v>71279</v>
      </c>
    </row>
    <row r="19" spans="2:6">
      <c r="B19" s="34" t="s">
        <v>55</v>
      </c>
      <c r="C19" s="35">
        <v>1901</v>
      </c>
      <c r="D19" s="36"/>
      <c r="E19" s="35">
        <f>Income_Expenses[[#This Row],[Annual Income]]/12</f>
        <v>7197.5</v>
      </c>
      <c r="F19" s="37">
        <v>86370</v>
      </c>
    </row>
    <row r="20" spans="2:6">
      <c r="B20" s="34" t="s">
        <v>34</v>
      </c>
      <c r="C20" s="35">
        <v>1687</v>
      </c>
      <c r="D20" s="36">
        <v>364.25</v>
      </c>
      <c r="E20" s="35">
        <f>Income_Expenses[[#This Row],[Annual Income]]/12</f>
        <v>5035.75</v>
      </c>
      <c r="F20" s="37">
        <v>60429</v>
      </c>
    </row>
    <row r="21" spans="2:6">
      <c r="B21" s="34" t="s">
        <v>16</v>
      </c>
      <c r="C21" s="35">
        <v>1365</v>
      </c>
      <c r="D21" s="36">
        <v>397.97</v>
      </c>
      <c r="E21" s="35">
        <f>Income_Expenses[[#This Row],[Annual Income]]/12</f>
        <v>5040.833333333333</v>
      </c>
      <c r="F21" s="37">
        <v>60490</v>
      </c>
    </row>
    <row r="22" spans="2:6">
      <c r="B22" s="34" t="s">
        <v>56</v>
      </c>
      <c r="C22" s="35">
        <v>2418</v>
      </c>
      <c r="D22" s="36">
        <v>556.76</v>
      </c>
      <c r="E22" s="35">
        <f>Income_Expenses[[#This Row],[Annual Income]]/12</f>
        <v>6565.666666666667</v>
      </c>
      <c r="F22" s="37">
        <v>78788</v>
      </c>
    </row>
    <row r="23" spans="2:6">
      <c r="B23" s="34" t="s">
        <v>33</v>
      </c>
      <c r="C23" s="35">
        <v>1170</v>
      </c>
      <c r="D23" s="36">
        <v>281.12</v>
      </c>
      <c r="E23" s="35">
        <f>Income_Expenses[[#This Row],[Annual Income]]/12</f>
        <v>5228.166666666667</v>
      </c>
      <c r="F23" s="37">
        <v>62738</v>
      </c>
    </row>
    <row r="24" spans="2:6">
      <c r="B24" s="34" t="s">
        <v>21</v>
      </c>
      <c r="C24" s="35">
        <v>1303</v>
      </c>
      <c r="D24" s="36">
        <v>327.31</v>
      </c>
      <c r="E24" s="35">
        <f>Income_Expenses[[#This Row],[Annual Income]]/12</f>
        <v>5591.833333333333</v>
      </c>
      <c r="F24" s="37">
        <v>67102</v>
      </c>
    </row>
    <row r="25" spans="2:6">
      <c r="B25" s="34" t="s">
        <v>19</v>
      </c>
      <c r="C25" s="35">
        <v>1111</v>
      </c>
      <c r="D25" s="36">
        <v>318.02999999999997</v>
      </c>
      <c r="E25" s="35">
        <f>Income_Expenses[[#This Row],[Annual Income]]/12</f>
        <v>5060.416666666667</v>
      </c>
      <c r="F25" s="37">
        <v>60725</v>
      </c>
    </row>
    <row r="26" spans="2:6">
      <c r="B26" s="34" t="s">
        <v>14</v>
      </c>
      <c r="C26" s="35">
        <v>974</v>
      </c>
      <c r="D26" s="36">
        <v>347.05</v>
      </c>
      <c r="E26" s="35">
        <f>Income_Expenses[[#This Row],[Annual Income]]/12</f>
        <v>5096.5</v>
      </c>
      <c r="F26" s="37">
        <v>61158</v>
      </c>
    </row>
    <row r="27" spans="2:6">
      <c r="B27" s="34" t="s">
        <v>8</v>
      </c>
      <c r="C27" s="35">
        <v>1113</v>
      </c>
      <c r="D27" s="36">
        <v>261.35000000000002</v>
      </c>
      <c r="E27" s="35">
        <f>Income_Expenses[[#This Row],[Annual Income]]/12</f>
        <v>4664.25</v>
      </c>
      <c r="F27" s="37">
        <v>55971</v>
      </c>
    </row>
    <row r="28" spans="2:6">
      <c r="B28" s="34" t="s">
        <v>20</v>
      </c>
      <c r="C28" s="35">
        <v>999</v>
      </c>
      <c r="D28" s="36">
        <v>315.2</v>
      </c>
      <c r="E28" s="35">
        <f>Income_Expenses[[#This Row],[Annual Income]]/12</f>
        <v>4419</v>
      </c>
      <c r="F28" s="37">
        <v>53028</v>
      </c>
    </row>
    <row r="29" spans="2:6">
      <c r="B29" s="34" t="s">
        <v>18</v>
      </c>
      <c r="C29" s="35">
        <v>1052</v>
      </c>
      <c r="D29" s="36">
        <v>325.19</v>
      </c>
      <c r="E29" s="35">
        <f>Income_Expenses[[#This Row],[Annual Income]]/12</f>
        <v>5120</v>
      </c>
      <c r="F29" s="37">
        <v>61440</v>
      </c>
    </row>
    <row r="30" spans="2:6">
      <c r="B30" s="34" t="s">
        <v>42</v>
      </c>
      <c r="C30" s="35">
        <v>1207</v>
      </c>
      <c r="D30" s="36">
        <v>372.21</v>
      </c>
      <c r="E30" s="35">
        <f>Income_Expenses[[#This Row],[Annual Income]]/12</f>
        <v>6666.833333333333</v>
      </c>
      <c r="F30" s="37">
        <v>80002</v>
      </c>
    </row>
    <row r="31" spans="2:6">
      <c r="B31" s="34" t="s">
        <v>50</v>
      </c>
      <c r="C31" s="35">
        <v>1741</v>
      </c>
      <c r="D31" s="36">
        <v>343.67</v>
      </c>
      <c r="E31" s="35">
        <f>Income_Expenses[[#This Row],[Annual Income]]/12</f>
        <v>6705.583333333333</v>
      </c>
      <c r="F31" s="37">
        <v>80467</v>
      </c>
    </row>
    <row r="32" spans="2:6">
      <c r="B32" s="34" t="s">
        <v>54</v>
      </c>
      <c r="C32" s="35">
        <v>1811</v>
      </c>
      <c r="D32" s="36">
        <v>406.21</v>
      </c>
      <c r="E32" s="35">
        <f>Income_Expenses[[#This Row],[Annual Income]]/12</f>
        <v>5281.666666666667</v>
      </c>
      <c r="F32" s="37">
        <v>63380</v>
      </c>
    </row>
    <row r="33" spans="2:6">
      <c r="B33" s="34" t="s">
        <v>15</v>
      </c>
      <c r="C33" s="35">
        <v>1109</v>
      </c>
      <c r="D33" s="36">
        <v>327.12</v>
      </c>
      <c r="E33" s="35">
        <f>Income_Expenses[[#This Row],[Annual Income]]/12</f>
        <v>5970.25</v>
      </c>
      <c r="F33" s="37">
        <v>71643</v>
      </c>
    </row>
    <row r="34" spans="2:6">
      <c r="B34" s="34" t="s">
        <v>26</v>
      </c>
      <c r="C34" s="35">
        <v>1114</v>
      </c>
      <c r="D34" s="36">
        <v>395.39</v>
      </c>
      <c r="E34" s="35">
        <f>Income_Expenses[[#This Row],[Annual Income]]/12</f>
        <v>4050.25</v>
      </c>
      <c r="F34" s="37">
        <v>48603</v>
      </c>
    </row>
    <row r="35" spans="2:6">
      <c r="B35" s="34" t="s">
        <v>7</v>
      </c>
      <c r="C35" s="35">
        <v>1102</v>
      </c>
      <c r="D35" s="36">
        <v>423.33</v>
      </c>
      <c r="E35" s="35">
        <f>Income_Expenses[[#This Row],[Annual Income]]/12</f>
        <v>5097.083333333333</v>
      </c>
      <c r="F35" s="37">
        <v>61165</v>
      </c>
    </row>
    <row r="36" spans="2:6">
      <c r="B36" s="34" t="s">
        <v>11</v>
      </c>
      <c r="C36" s="35">
        <v>1050</v>
      </c>
      <c r="D36" s="36">
        <v>312.63</v>
      </c>
      <c r="E36" s="35">
        <f>Income_Expenses[[#This Row],[Annual Income]]/12</f>
        <v>5403</v>
      </c>
      <c r="F36" s="37">
        <v>64836</v>
      </c>
    </row>
    <row r="37" spans="2:6">
      <c r="B37" s="34" t="s">
        <v>38</v>
      </c>
      <c r="C37" s="35">
        <v>1091</v>
      </c>
      <c r="D37" s="36">
        <v>323.91000000000003</v>
      </c>
      <c r="E37" s="35">
        <f>Income_Expenses[[#This Row],[Annual Income]]/12</f>
        <v>5435.25</v>
      </c>
      <c r="F37" s="37">
        <v>65223</v>
      </c>
    </row>
    <row r="38" spans="2:6">
      <c r="B38" s="34" t="s">
        <v>17</v>
      </c>
      <c r="C38" s="35">
        <v>1087</v>
      </c>
      <c r="D38" s="36">
        <v>336.9</v>
      </c>
      <c r="E38" s="35">
        <f>Income_Expenses[[#This Row],[Annual Income]]/12</f>
        <v>5289.416666666667</v>
      </c>
      <c r="F38" s="37">
        <v>63473</v>
      </c>
    </row>
    <row r="39" spans="2:6">
      <c r="B39" s="34" t="s">
        <v>35</v>
      </c>
      <c r="C39" s="35">
        <v>1461</v>
      </c>
      <c r="D39" s="36">
        <v>293.43</v>
      </c>
      <c r="E39" s="35">
        <f>Income_Expenses[[#This Row],[Annual Income]]/12</f>
        <v>6989.75</v>
      </c>
      <c r="F39" s="37">
        <v>83877</v>
      </c>
    </row>
    <row r="40" spans="2:6">
      <c r="B40" s="34" t="s">
        <v>46</v>
      </c>
      <c r="C40" s="35">
        <v>1682</v>
      </c>
      <c r="D40" s="36">
        <v>183</v>
      </c>
      <c r="E40" s="35">
        <f>Income_Expenses[[#This Row],[Annual Income]]/12</f>
        <v>6991.5</v>
      </c>
      <c r="F40" s="37">
        <v>83898</v>
      </c>
    </row>
    <row r="41" spans="2:6">
      <c r="B41" s="34" t="s">
        <v>45</v>
      </c>
      <c r="C41" s="35">
        <v>1850</v>
      </c>
      <c r="D41" s="36">
        <v>343.67</v>
      </c>
      <c r="E41" s="35">
        <f>Income_Expenses[[#This Row],[Annual Income]]/12</f>
        <v>4516.083333333333</v>
      </c>
      <c r="F41" s="37">
        <v>54193</v>
      </c>
    </row>
    <row r="42" spans="2:6">
      <c r="B42" s="34" t="s">
        <v>25</v>
      </c>
      <c r="C42" s="35">
        <v>1295</v>
      </c>
      <c r="D42" s="36">
        <v>307.79000000000002</v>
      </c>
      <c r="E42" s="35">
        <f>Income_Expenses[[#This Row],[Annual Income]]/12</f>
        <v>5734.5</v>
      </c>
      <c r="F42" s="37">
        <v>68814</v>
      </c>
    </row>
    <row r="43" spans="2:6">
      <c r="B43" s="34" t="s">
        <v>52</v>
      </c>
      <c r="C43" s="35">
        <v>1765</v>
      </c>
      <c r="D43" s="36">
        <v>482.87</v>
      </c>
      <c r="E43" s="35">
        <f>Income_Expenses[[#This Row],[Annual Income]]/12</f>
        <v>5006</v>
      </c>
      <c r="F43" s="37">
        <v>60072</v>
      </c>
    </row>
    <row r="44" spans="2:6">
      <c r="B44" s="34" t="s">
        <v>31</v>
      </c>
      <c r="C44" s="35">
        <v>1272</v>
      </c>
      <c r="D44" s="36">
        <v>341.1</v>
      </c>
      <c r="E44" s="35">
        <f>Income_Expenses[[#This Row],[Annual Income]]/12</f>
        <v>5843.75</v>
      </c>
      <c r="F44" s="37">
        <v>70125</v>
      </c>
    </row>
    <row r="45" spans="2:6">
      <c r="B45" s="34" t="s">
        <v>27</v>
      </c>
      <c r="C45" s="35">
        <v>880</v>
      </c>
      <c r="D45" s="36">
        <v>326.66000000000003</v>
      </c>
      <c r="E45" s="35">
        <f>Income_Expenses[[#This Row],[Annual Income]]/12</f>
        <v>5162.916666666667</v>
      </c>
      <c r="F45" s="37">
        <v>61955</v>
      </c>
    </row>
    <row r="46" spans="2:6">
      <c r="B46" s="34" t="s">
        <v>28</v>
      </c>
      <c r="C46" s="35">
        <v>1073</v>
      </c>
      <c r="D46" s="36">
        <v>341.48</v>
      </c>
      <c r="E46" s="35">
        <f>Income_Expenses[[#This Row],[Annual Income]]/12</f>
        <v>4613.166666666667</v>
      </c>
      <c r="F46" s="37">
        <v>55358</v>
      </c>
    </row>
    <row r="47" spans="2:6">
      <c r="B47" s="34" t="s">
        <v>6</v>
      </c>
      <c r="C47" s="35">
        <v>1081</v>
      </c>
      <c r="D47" s="36">
        <v>346.37</v>
      </c>
      <c r="E47" s="35">
        <f>Income_Expenses[[#This Row],[Annual Income]]/12</f>
        <v>5804.416666666667</v>
      </c>
      <c r="F47" s="37">
        <v>69653</v>
      </c>
    </row>
    <row r="48" spans="2:6">
      <c r="B48" s="34" t="s">
        <v>47</v>
      </c>
      <c r="C48" s="35">
        <v>1368</v>
      </c>
      <c r="D48" s="36">
        <v>375.41</v>
      </c>
      <c r="E48" s="35">
        <f>Income_Expenses[[#This Row],[Annual Income]]/12</f>
        <v>5537.833333333333</v>
      </c>
      <c r="F48" s="37">
        <v>66454</v>
      </c>
    </row>
    <row r="49" spans="2:6">
      <c r="B49" s="34" t="s">
        <v>32</v>
      </c>
      <c r="C49" s="35">
        <v>1193</v>
      </c>
      <c r="D49" s="36">
        <v>401.02</v>
      </c>
      <c r="E49" s="35">
        <f>Income_Expenses[[#This Row],[Annual Income]]/12</f>
        <v>5904.833333333333</v>
      </c>
      <c r="F49" s="37">
        <v>70858</v>
      </c>
    </row>
    <row r="50" spans="2:6">
      <c r="B50" s="34" t="s">
        <v>43</v>
      </c>
      <c r="C50" s="35">
        <v>1565</v>
      </c>
      <c r="D50" s="36">
        <v>390.19</v>
      </c>
      <c r="E50" s="35">
        <f>Income_Expenses[[#This Row],[Annual Income]]/12</f>
        <v>4959.25</v>
      </c>
      <c r="F50" s="37">
        <v>59511</v>
      </c>
    </row>
    <row r="51" spans="2:6">
      <c r="B51" s="34" t="s">
        <v>30</v>
      </c>
      <c r="C51" s="35">
        <v>1319</v>
      </c>
      <c r="D51" s="36">
        <v>411.29</v>
      </c>
      <c r="E51" s="35">
        <f>Income_Expenses[[#This Row],[Annual Income]]/12</f>
        <v>4771.083333333333</v>
      </c>
      <c r="F51" s="37">
        <v>57253</v>
      </c>
    </row>
    <row r="52" spans="2:6">
      <c r="B52" s="34" t="s">
        <v>22</v>
      </c>
      <c r="C52" s="35">
        <v>977</v>
      </c>
      <c r="D52" s="36">
        <v>286.23</v>
      </c>
      <c r="E52" s="35">
        <f>Income_Expenses[[#This Row],[Annual Income]]/12</f>
        <v>4770.5</v>
      </c>
      <c r="F52" s="37">
        <v>57246</v>
      </c>
    </row>
    <row r="53" spans="2:6">
      <c r="B53" s="34" t="s">
        <v>13</v>
      </c>
      <c r="C53" s="35">
        <v>1180</v>
      </c>
      <c r="D53" s="36">
        <v>346.37</v>
      </c>
      <c r="E53" s="35">
        <f>Income_Expenses[[#This Row],[Annual Income]]/12</f>
        <v>5003.333333333333</v>
      </c>
      <c r="F53" s="37">
        <v>60040</v>
      </c>
    </row>
    <row r="54" spans="2:6">
      <c r="B54" s="34" t="s">
        <v>24</v>
      </c>
      <c r="C54" s="35">
        <v>1318</v>
      </c>
      <c r="D54" s="36">
        <v>286.64</v>
      </c>
      <c r="E54" s="35">
        <f>Income_Expenses[[#This Row],[Annual Income]]/12</f>
        <v>5080.916666666667</v>
      </c>
      <c r="F54" s="37">
        <v>60971</v>
      </c>
    </row>
    <row r="55" spans="2:6">
      <c r="B55" s="34" t="s">
        <v>39</v>
      </c>
      <c r="C55" s="35">
        <v>1378</v>
      </c>
      <c r="D55" s="36">
        <v>282.23</v>
      </c>
      <c r="E55" s="35">
        <f>Income_Expenses[[#This Row],[Annual Income]]/12</f>
        <v>6064.333333333333</v>
      </c>
      <c r="F55" s="37">
        <v>72772</v>
      </c>
    </row>
    <row r="56" spans="2:6">
      <c r="B56" s="34" t="s">
        <v>48</v>
      </c>
      <c r="C56" s="35"/>
      <c r="D56" s="36">
        <v>497.41</v>
      </c>
      <c r="E56" s="35">
        <f>Income_Expenses[[#This Row],[Annual Income]]/12</f>
        <v>5828</v>
      </c>
      <c r="F56" s="37">
        <v>69936</v>
      </c>
    </row>
    <row r="57" spans="2:6">
      <c r="B57" s="34" t="s">
        <v>37</v>
      </c>
      <c r="C57" s="35">
        <v>1594</v>
      </c>
      <c r="D57" s="36">
        <v>298.01</v>
      </c>
      <c r="E57" s="35">
        <f>Income_Expenses[[#This Row],[Annual Income]]/12</f>
        <v>6281.333333333333</v>
      </c>
      <c r="F57" s="37">
        <v>75376</v>
      </c>
    </row>
    <row r="58" spans="2:6">
      <c r="B58" s="34" t="s">
        <v>49</v>
      </c>
      <c r="C58" s="35">
        <v>1567</v>
      </c>
      <c r="D58" s="36">
        <v>402.08</v>
      </c>
      <c r="E58" s="35">
        <f>Income_Expenses[[#This Row],[Annual Income]]/12</f>
        <v>6926.75</v>
      </c>
      <c r="F58" s="37">
        <v>83121</v>
      </c>
    </row>
    <row r="59" spans="2:6">
      <c r="B59" s="34" t="s">
        <v>9</v>
      </c>
      <c r="C59" s="35">
        <v>992</v>
      </c>
      <c r="D59" s="36">
        <v>427.19</v>
      </c>
      <c r="E59" s="35">
        <f>Income_Expenses[[#This Row],[Annual Income]]/12</f>
        <v>4701.666666666667</v>
      </c>
      <c r="F59" s="37">
        <v>56420</v>
      </c>
    </row>
    <row r="60" spans="2:6">
      <c r="B60" s="34" t="s">
        <v>29</v>
      </c>
      <c r="C60" s="35">
        <v>1098</v>
      </c>
      <c r="D60" s="36">
        <v>385.97</v>
      </c>
      <c r="E60" s="35">
        <f>Income_Expenses[[#This Row],[Annual Income]]/12</f>
        <v>5262.166666666667</v>
      </c>
      <c r="F60" s="37">
        <v>63146</v>
      </c>
    </row>
    <row r="61" spans="2:6">
      <c r="B61" s="38" t="s">
        <v>23</v>
      </c>
      <c r="C61" s="39">
        <v>1124</v>
      </c>
      <c r="D61" s="40">
        <v>345.62</v>
      </c>
      <c r="E61" s="39">
        <f>Income_Expenses[[#This Row],[Annual Income]]/12</f>
        <v>5454.75</v>
      </c>
      <c r="F61" s="41">
        <v>65457</v>
      </c>
    </row>
  </sheetData>
  <mergeCells count="1">
    <mergeCell ref="B1:E1"/>
  </mergeCells>
  <conditionalFormatting sqref="F11:F61">
    <cfRule type="cellIs" dxfId="83" priority="1" operator="lessThan">
      <formula>10000</formula>
    </cfRule>
  </conditionalFormatting>
  <dataValidations count="1">
    <dataValidation type="list" errorStyle="warning" allowBlank="1" showInputMessage="1" showErrorMessage="1" error="Please check spelling" sqref="B5:B7" xr:uid="{11DDCCD2-DA9C-4A37-9D25-DFD87252992F}">
      <formula1>$B$11:$B$61</formula1>
    </dataValidation>
  </dataValidations>
  <pageMargins left="0.7" right="0.7" top="0.75" bottom="0.75" header="0.3" footer="0.3"/>
  <pageSetup orientation="portrait" horizontalDpi="0" verticalDpi="0"/>
  <drawing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91F0E-26A5-4B01-B8ED-A8704C2CAE83}">
  <sheetPr>
    <tabColor theme="9" tint="0.59999389629810485"/>
  </sheetPr>
  <dimension ref="A1:I56"/>
  <sheetViews>
    <sheetView zoomScaleNormal="100" workbookViewId="0">
      <selection activeCell="H23" sqref="H23"/>
    </sheetView>
  </sheetViews>
  <sheetFormatPr baseColWidth="10" defaultColWidth="9" defaultRowHeight="16"/>
  <cols>
    <col min="1" max="4" width="12.6640625" style="43" customWidth="1"/>
    <col min="5" max="5" width="10.6640625" style="43" customWidth="1"/>
    <col min="6" max="6" width="12" style="43" bestFit="1" customWidth="1"/>
    <col min="7" max="9" width="15.1640625" style="43" bestFit="1" customWidth="1"/>
    <col min="10" max="10" width="15.83203125" style="43" customWidth="1"/>
    <col min="11" max="19" width="10.6640625" style="43" customWidth="1"/>
    <col min="20" max="16384" width="9" style="43"/>
  </cols>
  <sheetData>
    <row r="1" spans="1:9" ht="47">
      <c r="A1" s="105" t="s">
        <v>133</v>
      </c>
      <c r="B1" s="105"/>
      <c r="C1" s="105"/>
      <c r="D1" s="105"/>
      <c r="E1" s="105"/>
      <c r="F1" s="105"/>
      <c r="G1" s="73"/>
      <c r="H1" s="73"/>
      <c r="I1" s="73"/>
    </row>
    <row r="5" spans="1:9" ht="22">
      <c r="F5" s="84" t="s">
        <v>0</v>
      </c>
      <c r="G5" s="84" t="s">
        <v>121</v>
      </c>
      <c r="H5" s="84" t="s">
        <v>120</v>
      </c>
      <c r="I5" s="84" t="s">
        <v>122</v>
      </c>
    </row>
    <row r="6" spans="1:9">
      <c r="F6" s="63" t="s">
        <v>50</v>
      </c>
      <c r="G6" s="64">
        <v>78711</v>
      </c>
      <c r="H6" s="64">
        <v>86223</v>
      </c>
      <c r="I6" s="64">
        <v>80002</v>
      </c>
    </row>
    <row r="7" spans="1:9">
      <c r="F7"/>
      <c r="G7"/>
      <c r="H7"/>
      <c r="I7"/>
    </row>
    <row r="8" spans="1:9">
      <c r="F8"/>
      <c r="G8"/>
      <c r="H8"/>
      <c r="I8"/>
    </row>
    <row r="9" spans="1:9">
      <c r="F9"/>
      <c r="G9"/>
      <c r="H9"/>
      <c r="I9"/>
    </row>
    <row r="10" spans="1:9">
      <c r="F10"/>
      <c r="G10"/>
      <c r="H10"/>
      <c r="I10"/>
    </row>
    <row r="11" spans="1:9">
      <c r="F11"/>
      <c r="G11"/>
      <c r="H11"/>
      <c r="I11"/>
    </row>
    <row r="12" spans="1:9">
      <c r="F12"/>
      <c r="G12"/>
      <c r="H12"/>
      <c r="I12"/>
    </row>
    <row r="13" spans="1:9">
      <c r="F13"/>
      <c r="G13"/>
      <c r="H13"/>
      <c r="I13"/>
    </row>
    <row r="14" spans="1:9">
      <c r="F14"/>
      <c r="G14"/>
      <c r="H14"/>
      <c r="I14"/>
    </row>
    <row r="15" spans="1:9">
      <c r="F15"/>
      <c r="G15"/>
      <c r="H15"/>
      <c r="I15"/>
    </row>
    <row r="16" spans="1:9">
      <c r="F16"/>
      <c r="G16"/>
      <c r="H16"/>
      <c r="I16"/>
    </row>
    <row r="17" spans="6:9">
      <c r="F17"/>
      <c r="G17"/>
      <c r="H17"/>
      <c r="I17"/>
    </row>
    <row r="18" spans="6:9">
      <c r="F18"/>
      <c r="G18"/>
      <c r="H18"/>
      <c r="I18"/>
    </row>
    <row r="19" spans="6:9">
      <c r="F19"/>
      <c r="G19"/>
      <c r="H19"/>
      <c r="I19"/>
    </row>
    <row r="20" spans="6:9">
      <c r="F20"/>
      <c r="G20"/>
      <c r="H20"/>
      <c r="I20"/>
    </row>
    <row r="21" spans="6:9">
      <c r="F21"/>
      <c r="G21"/>
      <c r="H21"/>
      <c r="I21"/>
    </row>
    <row r="22" spans="6:9">
      <c r="F22"/>
      <c r="G22"/>
      <c r="H22"/>
      <c r="I22"/>
    </row>
    <row r="23" spans="6:9">
      <c r="F23"/>
      <c r="G23"/>
      <c r="H23"/>
      <c r="I23"/>
    </row>
    <row r="24" spans="6:9">
      <c r="F24"/>
      <c r="G24"/>
      <c r="H24"/>
      <c r="I24"/>
    </row>
    <row r="25" spans="6:9">
      <c r="F25"/>
      <c r="G25"/>
      <c r="H25"/>
      <c r="I25"/>
    </row>
    <row r="26" spans="6:9">
      <c r="F26"/>
      <c r="G26"/>
      <c r="H26"/>
      <c r="I26"/>
    </row>
    <row r="27" spans="6:9">
      <c r="F27"/>
      <c r="G27"/>
      <c r="H27"/>
      <c r="I27"/>
    </row>
    <row r="28" spans="6:9">
      <c r="F28"/>
      <c r="G28"/>
      <c r="H28"/>
      <c r="I28"/>
    </row>
    <row r="29" spans="6:9">
      <c r="F29"/>
      <c r="G29"/>
      <c r="H29"/>
      <c r="I29"/>
    </row>
    <row r="30" spans="6:9">
      <c r="F30"/>
      <c r="G30"/>
      <c r="H30"/>
      <c r="I30"/>
    </row>
    <row r="31" spans="6:9">
      <c r="F31"/>
      <c r="G31"/>
      <c r="H31"/>
      <c r="I31"/>
    </row>
    <row r="32" spans="6:9">
      <c r="F32"/>
      <c r="G32"/>
      <c r="H32"/>
      <c r="I32"/>
    </row>
    <row r="33" spans="6:9">
      <c r="F33"/>
      <c r="G33"/>
      <c r="H33"/>
      <c r="I33"/>
    </row>
    <row r="34" spans="6:9">
      <c r="F34"/>
      <c r="G34"/>
      <c r="H34"/>
      <c r="I34"/>
    </row>
    <row r="35" spans="6:9">
      <c r="F35"/>
      <c r="G35"/>
      <c r="H35"/>
      <c r="I35"/>
    </row>
    <row r="36" spans="6:9">
      <c r="F36"/>
      <c r="G36"/>
      <c r="H36"/>
      <c r="I36"/>
    </row>
    <row r="37" spans="6:9">
      <c r="F37"/>
      <c r="G37"/>
      <c r="H37"/>
      <c r="I37"/>
    </row>
    <row r="38" spans="6:9">
      <c r="F38"/>
      <c r="G38"/>
      <c r="H38"/>
      <c r="I38"/>
    </row>
    <row r="39" spans="6:9">
      <c r="F39"/>
      <c r="G39"/>
      <c r="H39"/>
      <c r="I39"/>
    </row>
    <row r="40" spans="6:9">
      <c r="F40"/>
      <c r="G40"/>
      <c r="H40"/>
      <c r="I40"/>
    </row>
    <row r="41" spans="6:9">
      <c r="F41"/>
      <c r="G41"/>
      <c r="H41"/>
      <c r="I41"/>
    </row>
    <row r="42" spans="6:9">
      <c r="F42"/>
      <c r="G42"/>
      <c r="H42"/>
      <c r="I42"/>
    </row>
    <row r="43" spans="6:9">
      <c r="F43"/>
      <c r="G43"/>
      <c r="H43"/>
      <c r="I43"/>
    </row>
    <row r="44" spans="6:9">
      <c r="F44"/>
      <c r="G44"/>
      <c r="H44"/>
      <c r="I44"/>
    </row>
    <row r="45" spans="6:9">
      <c r="F45"/>
      <c r="G45"/>
      <c r="H45"/>
      <c r="I45"/>
    </row>
    <row r="46" spans="6:9">
      <c r="F46"/>
      <c r="G46"/>
      <c r="H46"/>
      <c r="I46"/>
    </row>
    <row r="47" spans="6:9">
      <c r="F47"/>
      <c r="G47"/>
      <c r="H47"/>
      <c r="I47"/>
    </row>
    <row r="48" spans="6:9">
      <c r="F48"/>
      <c r="G48"/>
      <c r="H48"/>
      <c r="I48"/>
    </row>
    <row r="49" spans="6:9">
      <c r="F49"/>
      <c r="G49"/>
      <c r="H49"/>
      <c r="I49"/>
    </row>
    <row r="50" spans="6:9">
      <c r="F50"/>
      <c r="G50"/>
      <c r="H50"/>
      <c r="I50"/>
    </row>
    <row r="51" spans="6:9">
      <c r="F51"/>
      <c r="G51"/>
      <c r="H51"/>
      <c r="I51"/>
    </row>
    <row r="52" spans="6:9">
      <c r="F52"/>
      <c r="G52"/>
      <c r="H52"/>
      <c r="I52"/>
    </row>
    <row r="53" spans="6:9">
      <c r="F53"/>
      <c r="G53"/>
      <c r="H53"/>
      <c r="I53"/>
    </row>
    <row r="54" spans="6:9">
      <c r="F54"/>
      <c r="G54"/>
      <c r="H54"/>
      <c r="I54"/>
    </row>
    <row r="55" spans="6:9">
      <c r="F55"/>
      <c r="G55"/>
      <c r="H55"/>
      <c r="I55"/>
    </row>
    <row r="56" spans="6:9">
      <c r="F56"/>
      <c r="G56"/>
      <c r="H56"/>
      <c r="I56"/>
    </row>
  </sheetData>
  <mergeCells count="1">
    <mergeCell ref="A1:F1"/>
  </mergeCells>
  <pageMargins left="0.7" right="0.7" top="0.75" bottom="0.75" header="0.3" footer="0.3"/>
  <drawing r:id="rId2"/>
  <legacyDrawing r:id="rId3"/>
  <extLst>
    <ext xmlns:x14="http://schemas.microsoft.com/office/spreadsheetml/2009/9/main" uri="{05C60535-1F16-4fd2-B633-F4F36F0B64E0}">
      <x14:sparklineGroups xmlns:xm="http://schemas.microsoft.com/office/excel/2006/main">
        <x14:sparklineGroup displayEmptyCellsAs="gap" negative="1" xr2:uid="{0BDDA40D-60D1-4D7D-9CE9-5560F14822AA}">
          <x14:colorSeries rgb="FF376092"/>
          <x14:colorNegative rgb="FFD00000"/>
          <x14:colorAxis rgb="FF000000"/>
          <x14:colorMarkers rgb="FFD00000"/>
          <x14:colorFirst rgb="FFD00000"/>
          <x14:colorLast rgb="FFD00000"/>
          <x14:colorHigh rgb="FFD00000"/>
          <x14:colorLow rgb="FFD00000"/>
          <x14:sparklines>
            <x14:sparkline>
              <xm:f>'Income Comparision'!G6:I6</xm:f>
              <xm:sqref>J6</xm:sqref>
            </x14:sparkline>
            <x14:sparkline>
              <xm:f>'Income Comparision'!G7:I7</xm:f>
              <xm:sqref>J7</xm:sqref>
            </x14:sparkline>
            <x14:sparkline>
              <xm:f>'Income Comparision'!G8:I8</xm:f>
              <xm:sqref>J8</xm:sqref>
            </x14:sparkline>
            <x14:sparkline>
              <xm:f>'Income Comparision'!G9:I9</xm:f>
              <xm:sqref>J9</xm:sqref>
            </x14:sparkline>
            <x14:sparkline>
              <xm:f>'Income Comparision'!G10:I10</xm:f>
              <xm:sqref>J10</xm:sqref>
            </x14:sparkline>
            <x14:sparkline>
              <xm:f>'Income Comparision'!G11:I11</xm:f>
              <xm:sqref>J11</xm:sqref>
            </x14:sparkline>
            <x14:sparkline>
              <xm:f>'Income Comparision'!G12:I12</xm:f>
              <xm:sqref>J12</xm:sqref>
            </x14:sparkline>
            <x14:sparkline>
              <xm:f>'Income Comparision'!G13:I13</xm:f>
              <xm:sqref>J13</xm:sqref>
            </x14:sparkline>
            <x14:sparkline>
              <xm:f>'Income Comparision'!G14:I14</xm:f>
              <xm:sqref>J14</xm:sqref>
            </x14:sparkline>
            <x14:sparkline>
              <xm:f>'Income Comparision'!G15:I15</xm:f>
              <xm:sqref>J15</xm:sqref>
            </x14:sparkline>
            <x14:sparkline>
              <xm:f>'Income Comparision'!G16:I16</xm:f>
              <xm:sqref>J16</xm:sqref>
            </x14:sparkline>
            <x14:sparkline>
              <xm:f>'Income Comparision'!G17:I17</xm:f>
              <xm:sqref>J17</xm:sqref>
            </x14:sparkline>
            <x14:sparkline>
              <xm:f>'Income Comparision'!G18:I18</xm:f>
              <xm:sqref>J18</xm:sqref>
            </x14:sparkline>
            <x14:sparkline>
              <xm:f>'Income Comparision'!G19:I19</xm:f>
              <xm:sqref>J19</xm:sqref>
            </x14:sparkline>
            <x14:sparkline>
              <xm:f>'Income Comparision'!G20:I20</xm:f>
              <xm:sqref>J20</xm:sqref>
            </x14:sparkline>
            <x14:sparkline>
              <xm:f>'Income Comparision'!G21:I21</xm:f>
              <xm:sqref>J21</xm:sqref>
            </x14:sparkline>
            <x14:sparkline>
              <xm:f>'Income Comparision'!G22:I22</xm:f>
              <xm:sqref>J22</xm:sqref>
            </x14:sparkline>
            <x14:sparkline>
              <xm:f>'Income Comparision'!G23:I23</xm:f>
              <xm:sqref>J23</xm:sqref>
            </x14:sparkline>
            <x14:sparkline>
              <xm:f>'Income Comparision'!G24:I24</xm:f>
              <xm:sqref>J24</xm:sqref>
            </x14:sparkline>
            <x14:sparkline>
              <xm:f>'Income Comparision'!G25:I25</xm:f>
              <xm:sqref>J25</xm:sqref>
            </x14:sparkline>
            <x14:sparkline>
              <xm:f>'Income Comparision'!G26:I26</xm:f>
              <xm:sqref>J26</xm:sqref>
            </x14:sparkline>
            <x14:sparkline>
              <xm:f>'Income Comparision'!G27:I27</xm:f>
              <xm:sqref>J27</xm:sqref>
            </x14:sparkline>
            <x14:sparkline>
              <xm:f>'Income Comparision'!G28:I28</xm:f>
              <xm:sqref>J28</xm:sqref>
            </x14:sparkline>
            <x14:sparkline>
              <xm:f>'Income Comparision'!G29:I29</xm:f>
              <xm:sqref>J29</xm:sqref>
            </x14:sparkline>
            <x14:sparkline>
              <xm:f>'Income Comparision'!G30:I30</xm:f>
              <xm:sqref>J30</xm:sqref>
            </x14:sparkline>
            <x14:sparkline>
              <xm:f>'Income Comparision'!G31:I31</xm:f>
              <xm:sqref>J31</xm:sqref>
            </x14:sparkline>
            <x14:sparkline>
              <xm:f>'Income Comparision'!G32:I32</xm:f>
              <xm:sqref>J32</xm:sqref>
            </x14:sparkline>
            <x14:sparkline>
              <xm:f>'Income Comparision'!G33:I33</xm:f>
              <xm:sqref>J33</xm:sqref>
            </x14:sparkline>
            <x14:sparkline>
              <xm:f>'Income Comparision'!G34:I34</xm:f>
              <xm:sqref>J34</xm:sqref>
            </x14:sparkline>
            <x14:sparkline>
              <xm:f>'Income Comparision'!G35:I35</xm:f>
              <xm:sqref>J35</xm:sqref>
            </x14:sparkline>
            <x14:sparkline>
              <xm:f>'Income Comparision'!G36:I36</xm:f>
              <xm:sqref>J36</xm:sqref>
            </x14:sparkline>
            <x14:sparkline>
              <xm:f>'Income Comparision'!G37:I37</xm:f>
              <xm:sqref>J37</xm:sqref>
            </x14:sparkline>
            <x14:sparkline>
              <xm:f>'Income Comparision'!G38:I38</xm:f>
              <xm:sqref>J38</xm:sqref>
            </x14:sparkline>
            <x14:sparkline>
              <xm:f>'Income Comparision'!G39:I39</xm:f>
              <xm:sqref>J39</xm:sqref>
            </x14:sparkline>
            <x14:sparkline>
              <xm:f>'Income Comparision'!G40:I40</xm:f>
              <xm:sqref>J40</xm:sqref>
            </x14:sparkline>
            <x14:sparkline>
              <xm:f>'Income Comparision'!G41:I41</xm:f>
              <xm:sqref>J41</xm:sqref>
            </x14:sparkline>
            <x14:sparkline>
              <xm:f>'Income Comparision'!G42:I42</xm:f>
              <xm:sqref>J42</xm:sqref>
            </x14:sparkline>
            <x14:sparkline>
              <xm:f>'Income Comparision'!G43:I43</xm:f>
              <xm:sqref>J43</xm:sqref>
            </x14:sparkline>
            <x14:sparkline>
              <xm:f>'Income Comparision'!G44:I44</xm:f>
              <xm:sqref>J44</xm:sqref>
            </x14:sparkline>
            <x14:sparkline>
              <xm:f>'Income Comparision'!G45:I45</xm:f>
              <xm:sqref>J45</xm:sqref>
            </x14:sparkline>
            <x14:sparkline>
              <xm:f>'Income Comparision'!G46:I46</xm:f>
              <xm:sqref>J46</xm:sqref>
            </x14:sparkline>
            <x14:sparkline>
              <xm:f>'Income Comparision'!G47:I47</xm:f>
              <xm:sqref>J47</xm:sqref>
            </x14:sparkline>
            <x14:sparkline>
              <xm:f>'Income Comparision'!G48:I48</xm:f>
              <xm:sqref>J48</xm:sqref>
            </x14:sparkline>
            <x14:sparkline>
              <xm:f>'Income Comparision'!G49:I49</xm:f>
              <xm:sqref>J49</xm:sqref>
            </x14:sparkline>
            <x14:sparkline>
              <xm:f>'Income Comparision'!G50:I50</xm:f>
              <xm:sqref>J50</xm:sqref>
            </x14:sparkline>
            <x14:sparkline>
              <xm:f>'Income Comparision'!G51:I51</xm:f>
              <xm:sqref>J51</xm:sqref>
            </x14:sparkline>
            <x14:sparkline>
              <xm:f>'Income Comparision'!G52:I52</xm:f>
              <xm:sqref>J52</xm:sqref>
            </x14:sparkline>
            <x14:sparkline>
              <xm:f>'Income Comparision'!G53:I53</xm:f>
              <xm:sqref>J53</xm:sqref>
            </x14:sparkline>
            <x14:sparkline>
              <xm:f>'Income Comparision'!G54:I54</xm:f>
              <xm:sqref>J54</xm:sqref>
            </x14:sparkline>
            <x14:sparkline>
              <xm:f>'Income Comparision'!G55:I55</xm:f>
              <xm:sqref>J55</xm:sqref>
            </x14:sparkline>
            <x14:sparkline>
              <xm:f>'Income Comparision'!G56:I56</xm:f>
              <xm:sqref>J56</xm:sqref>
            </x14:sparkline>
          </x14:sparklines>
        </x14:sparklineGroup>
      </x14:sparklineGroups>
    </ex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7B463-8C92-344F-90DC-D8C2F0E492C5}">
  <sheetPr codeName="Sheet4">
    <tabColor theme="9" tint="0.59999389629810485"/>
  </sheetPr>
  <dimension ref="A1:J56"/>
  <sheetViews>
    <sheetView zoomScaleNormal="100" workbookViewId="0">
      <selection activeCell="H17" sqref="H17"/>
    </sheetView>
  </sheetViews>
  <sheetFormatPr baseColWidth="10" defaultColWidth="11" defaultRowHeight="16"/>
  <cols>
    <col min="1" max="4" width="12.6640625" style="43" customWidth="1"/>
    <col min="5" max="5" width="10.6640625" style="43" customWidth="1"/>
    <col min="6" max="10" width="12" style="43" bestFit="1" customWidth="1"/>
    <col min="11" max="11" width="15.83203125" style="43" customWidth="1"/>
    <col min="12" max="12" width="15.1640625" style="43" bestFit="1" customWidth="1"/>
    <col min="13" max="13" width="15.6640625" style="43" bestFit="1" customWidth="1"/>
    <col min="14" max="16384" width="11" style="43"/>
  </cols>
  <sheetData>
    <row r="1" spans="1:10" ht="47">
      <c r="A1" s="105" t="s">
        <v>134</v>
      </c>
      <c r="B1" s="105"/>
      <c r="C1" s="105"/>
      <c r="D1" s="105"/>
      <c r="E1" s="105"/>
      <c r="F1" s="105"/>
      <c r="G1" s="105"/>
      <c r="H1" s="73"/>
      <c r="I1" s="73"/>
      <c r="J1" s="73"/>
    </row>
    <row r="5" spans="1:10" ht="22">
      <c r="F5" s="85" t="s">
        <v>0</v>
      </c>
      <c r="G5" s="85" t="s">
        <v>77</v>
      </c>
      <c r="H5" s="85" t="s">
        <v>75</v>
      </c>
      <c r="I5" s="85" t="s">
        <v>73</v>
      </c>
      <c r="J5" s="85" t="s">
        <v>71</v>
      </c>
    </row>
    <row r="6" spans="1:10">
      <c r="F6" s="63" t="s">
        <v>44</v>
      </c>
      <c r="G6" s="65">
        <v>8</v>
      </c>
      <c r="H6" s="65">
        <v>6.4</v>
      </c>
      <c r="I6" s="65">
        <v>4.0999999999999996</v>
      </c>
      <c r="J6" s="65">
        <v>3.8</v>
      </c>
    </row>
    <row r="7" spans="1:10">
      <c r="F7" s="63" t="s">
        <v>36</v>
      </c>
      <c r="G7" s="65">
        <v>7.5</v>
      </c>
      <c r="H7" s="65">
        <v>5.5</v>
      </c>
      <c r="I7" s="65">
        <v>4.3</v>
      </c>
      <c r="J7" s="65">
        <v>4</v>
      </c>
    </row>
    <row r="8" spans="1:10">
      <c r="F8" s="63" t="s">
        <v>21</v>
      </c>
      <c r="G8" s="65">
        <v>9.3000000000000007</v>
      </c>
      <c r="H8" s="65">
        <v>6.1</v>
      </c>
      <c r="I8" s="65">
        <v>4.5999999999999996</v>
      </c>
      <c r="J8" s="65">
        <v>4.5</v>
      </c>
    </row>
    <row r="9" spans="1:10">
      <c r="F9"/>
      <c r="G9"/>
      <c r="H9"/>
      <c r="I9"/>
      <c r="J9"/>
    </row>
    <row r="10" spans="1:10">
      <c r="F10"/>
      <c r="G10"/>
      <c r="H10"/>
      <c r="I10"/>
      <c r="J10"/>
    </row>
    <row r="11" spans="1:10">
      <c r="F11"/>
      <c r="G11"/>
      <c r="H11"/>
      <c r="I11"/>
      <c r="J11"/>
    </row>
    <row r="12" spans="1:10">
      <c r="F12"/>
      <c r="G12"/>
      <c r="H12"/>
      <c r="I12"/>
      <c r="J12"/>
    </row>
    <row r="13" spans="1:10">
      <c r="F13"/>
      <c r="G13"/>
      <c r="H13"/>
      <c r="I13"/>
      <c r="J13"/>
    </row>
    <row r="14" spans="1:10">
      <c r="F14"/>
      <c r="G14"/>
      <c r="H14"/>
      <c r="I14"/>
      <c r="J14"/>
    </row>
    <row r="15" spans="1:10">
      <c r="F15"/>
      <c r="G15"/>
      <c r="H15"/>
      <c r="I15"/>
      <c r="J15"/>
    </row>
    <row r="16" spans="1:10">
      <c r="F16"/>
      <c r="G16"/>
      <c r="H16"/>
      <c r="I16"/>
      <c r="J16"/>
    </row>
    <row r="17" spans="6:10">
      <c r="F17"/>
      <c r="G17"/>
      <c r="H17"/>
      <c r="I17"/>
      <c r="J17"/>
    </row>
    <row r="18" spans="6:10">
      <c r="F18"/>
      <c r="G18"/>
      <c r="H18"/>
      <c r="I18"/>
      <c r="J18"/>
    </row>
    <row r="19" spans="6:10">
      <c r="F19"/>
      <c r="G19"/>
      <c r="H19"/>
      <c r="I19"/>
      <c r="J19"/>
    </row>
    <row r="20" spans="6:10">
      <c r="F20"/>
      <c r="G20"/>
      <c r="H20"/>
      <c r="I20"/>
      <c r="J20"/>
    </row>
    <row r="21" spans="6:10">
      <c r="F21"/>
      <c r="G21"/>
      <c r="H21"/>
      <c r="I21"/>
      <c r="J21"/>
    </row>
    <row r="22" spans="6:10">
      <c r="F22"/>
      <c r="G22"/>
      <c r="H22"/>
      <c r="I22"/>
      <c r="J22"/>
    </row>
    <row r="23" spans="6:10">
      <c r="F23"/>
      <c r="G23"/>
      <c r="H23"/>
      <c r="I23"/>
      <c r="J23"/>
    </row>
    <row r="24" spans="6:10">
      <c r="F24"/>
      <c r="G24"/>
      <c r="H24"/>
      <c r="I24"/>
      <c r="J24"/>
    </row>
    <row r="25" spans="6:10">
      <c r="F25"/>
      <c r="G25"/>
      <c r="H25"/>
      <c r="I25"/>
      <c r="J25"/>
    </row>
    <row r="26" spans="6:10">
      <c r="F26"/>
      <c r="G26"/>
      <c r="H26"/>
      <c r="I26"/>
      <c r="J26"/>
    </row>
    <row r="27" spans="6:10">
      <c r="F27"/>
      <c r="G27"/>
      <c r="H27"/>
      <c r="I27"/>
      <c r="J27"/>
    </row>
    <row r="28" spans="6:10">
      <c r="F28"/>
      <c r="G28"/>
      <c r="H28"/>
      <c r="I28"/>
      <c r="J28"/>
    </row>
    <row r="29" spans="6:10">
      <c r="F29"/>
      <c r="G29"/>
      <c r="H29"/>
      <c r="I29"/>
      <c r="J29"/>
    </row>
    <row r="30" spans="6:10">
      <c r="F30"/>
      <c r="G30"/>
      <c r="H30"/>
      <c r="I30"/>
      <c r="J30"/>
    </row>
    <row r="31" spans="6:10">
      <c r="F31"/>
      <c r="G31"/>
      <c r="H31"/>
      <c r="I31"/>
      <c r="J31"/>
    </row>
    <row r="32" spans="6:10">
      <c r="F32"/>
      <c r="G32"/>
      <c r="H32"/>
      <c r="I32"/>
      <c r="J32"/>
    </row>
    <row r="33" spans="6:10">
      <c r="F33"/>
      <c r="G33"/>
      <c r="H33"/>
      <c r="I33"/>
      <c r="J33"/>
    </row>
    <row r="34" spans="6:10">
      <c r="F34"/>
      <c r="G34"/>
      <c r="H34"/>
      <c r="I34"/>
      <c r="J34"/>
    </row>
    <row r="35" spans="6:10">
      <c r="F35"/>
      <c r="G35"/>
      <c r="H35"/>
      <c r="I35"/>
      <c r="J35"/>
    </row>
    <row r="36" spans="6:10">
      <c r="F36"/>
      <c r="G36"/>
      <c r="H36"/>
      <c r="I36"/>
      <c r="J36"/>
    </row>
    <row r="37" spans="6:10">
      <c r="F37"/>
      <c r="G37"/>
      <c r="H37"/>
      <c r="I37"/>
      <c r="J37"/>
    </row>
    <row r="38" spans="6:10">
      <c r="F38"/>
      <c r="G38"/>
      <c r="H38"/>
      <c r="I38"/>
      <c r="J38"/>
    </row>
    <row r="39" spans="6:10">
      <c r="F39"/>
      <c r="G39"/>
      <c r="H39"/>
      <c r="I39"/>
      <c r="J39"/>
    </row>
    <row r="40" spans="6:10">
      <c r="F40"/>
      <c r="G40"/>
      <c r="H40"/>
      <c r="I40"/>
      <c r="J40"/>
    </row>
    <row r="41" spans="6:10">
      <c r="F41"/>
      <c r="G41"/>
      <c r="H41"/>
      <c r="I41"/>
      <c r="J41"/>
    </row>
    <row r="42" spans="6:10">
      <c r="F42"/>
      <c r="G42"/>
      <c r="H42"/>
      <c r="I42"/>
      <c r="J42"/>
    </row>
    <row r="43" spans="6:10">
      <c r="F43"/>
      <c r="G43"/>
      <c r="H43"/>
      <c r="I43"/>
      <c r="J43"/>
    </row>
    <row r="44" spans="6:10">
      <c r="F44"/>
      <c r="G44"/>
      <c r="H44"/>
      <c r="I44"/>
      <c r="J44"/>
    </row>
    <row r="45" spans="6:10">
      <c r="F45"/>
      <c r="G45"/>
      <c r="H45"/>
      <c r="I45"/>
      <c r="J45"/>
    </row>
    <row r="46" spans="6:10">
      <c r="F46"/>
      <c r="G46"/>
      <c r="H46"/>
      <c r="I46"/>
      <c r="J46"/>
    </row>
    <row r="47" spans="6:10">
      <c r="F47"/>
      <c r="G47"/>
      <c r="H47"/>
      <c r="I47"/>
      <c r="J47"/>
    </row>
    <row r="48" spans="6:10">
      <c r="F48"/>
      <c r="G48"/>
      <c r="H48"/>
      <c r="I48"/>
      <c r="J48"/>
    </row>
    <row r="49" spans="6:10">
      <c r="F49"/>
      <c r="G49"/>
      <c r="H49"/>
      <c r="I49"/>
      <c r="J49"/>
    </row>
    <row r="50" spans="6:10">
      <c r="F50"/>
      <c r="G50"/>
      <c r="H50"/>
      <c r="I50"/>
      <c r="J50"/>
    </row>
    <row r="51" spans="6:10">
      <c r="F51"/>
      <c r="G51"/>
      <c r="H51"/>
      <c r="I51"/>
      <c r="J51"/>
    </row>
    <row r="52" spans="6:10">
      <c r="F52"/>
      <c r="G52"/>
      <c r="H52"/>
      <c r="I52"/>
      <c r="J52"/>
    </row>
    <row r="53" spans="6:10">
      <c r="F53"/>
      <c r="G53"/>
      <c r="H53"/>
      <c r="I53"/>
      <c r="J53"/>
    </row>
    <row r="54" spans="6:10">
      <c r="F54"/>
      <c r="G54"/>
      <c r="H54"/>
      <c r="I54"/>
      <c r="J54"/>
    </row>
    <row r="55" spans="6:10">
      <c r="F55"/>
      <c r="G55"/>
      <c r="H55"/>
      <c r="I55"/>
      <c r="J55"/>
    </row>
    <row r="56" spans="6:10">
      <c r="F56"/>
      <c r="G56"/>
      <c r="H56"/>
      <c r="I56"/>
      <c r="J56"/>
    </row>
  </sheetData>
  <sheetProtection pivotTables="0"/>
  <mergeCells count="1">
    <mergeCell ref="A1:G1"/>
  </mergeCells>
  <pageMargins left="0.7" right="0.7" top="0.75" bottom="0.75" header="0.3" footer="0.3"/>
  <drawing r:id="rId2"/>
  <legacyDrawing r:id="rId3"/>
  <extLst>
    <ext xmlns:x14="http://schemas.microsoft.com/office/spreadsheetml/2009/9/main" uri="{05C60535-1F16-4fd2-B633-F4F36F0B64E0}">
      <x14:sparklineGroups xmlns:xm="http://schemas.microsoft.com/office/excel/2006/main">
        <x14:sparklineGroup type="column" displayEmptyCellsAs="gap" xr2:uid="{07AE0FE5-12FB-4F8A-BF8F-4EC9261CC07B}">
          <x14:colorSeries rgb="FF376092"/>
          <x14:colorNegative rgb="FFD00000"/>
          <x14:colorAxis rgb="FF000000"/>
          <x14:colorMarkers rgb="FFD00000"/>
          <x14:colorFirst rgb="FFD00000"/>
          <x14:colorLast rgb="FFD00000"/>
          <x14:colorHigh rgb="FFD00000"/>
          <x14:colorLow rgb="FFD00000"/>
          <x14:sparklines>
            <x14:sparkline>
              <xm:f>'Unemployment Comparision'!G6:J6</xm:f>
              <xm:sqref>K6</xm:sqref>
            </x14:sparkline>
            <x14:sparkline>
              <xm:f>'Unemployment Comparision'!G7:J7</xm:f>
              <xm:sqref>K7</xm:sqref>
            </x14:sparkline>
            <x14:sparkline>
              <xm:f>'Unemployment Comparision'!G8:J8</xm:f>
              <xm:sqref>K8</xm:sqref>
            </x14:sparkline>
            <x14:sparkline>
              <xm:f>'Unemployment Comparision'!G9:J9</xm:f>
              <xm:sqref>K9</xm:sqref>
            </x14:sparkline>
            <x14:sparkline>
              <xm:f>'Unemployment Comparision'!G10:J10</xm:f>
              <xm:sqref>K10</xm:sqref>
            </x14:sparkline>
            <x14:sparkline>
              <xm:f>'Unemployment Comparision'!G11:J11</xm:f>
              <xm:sqref>K11</xm:sqref>
            </x14:sparkline>
            <x14:sparkline>
              <xm:f>'Unemployment Comparision'!G12:J12</xm:f>
              <xm:sqref>K12</xm:sqref>
            </x14:sparkline>
            <x14:sparkline>
              <xm:f>'Unemployment Comparision'!G13:J13</xm:f>
              <xm:sqref>K13</xm:sqref>
            </x14:sparkline>
            <x14:sparkline>
              <xm:f>'Unemployment Comparision'!G14:J14</xm:f>
              <xm:sqref>K14</xm:sqref>
            </x14:sparkline>
            <x14:sparkline>
              <xm:f>'Unemployment Comparision'!G15:J15</xm:f>
              <xm:sqref>K15</xm:sqref>
            </x14:sparkline>
            <x14:sparkline>
              <xm:f>'Unemployment Comparision'!G16:J16</xm:f>
              <xm:sqref>K16</xm:sqref>
            </x14:sparkline>
            <x14:sparkline>
              <xm:f>'Unemployment Comparision'!G17:J17</xm:f>
              <xm:sqref>K17</xm:sqref>
            </x14:sparkline>
            <x14:sparkline>
              <xm:f>'Unemployment Comparision'!G18:J18</xm:f>
              <xm:sqref>K18</xm:sqref>
            </x14:sparkline>
            <x14:sparkline>
              <xm:f>'Unemployment Comparision'!G19:J19</xm:f>
              <xm:sqref>K19</xm:sqref>
            </x14:sparkline>
            <x14:sparkline>
              <xm:f>'Unemployment Comparision'!G20:J20</xm:f>
              <xm:sqref>K20</xm:sqref>
            </x14:sparkline>
            <x14:sparkline>
              <xm:f>'Unemployment Comparision'!G21:J21</xm:f>
              <xm:sqref>K21</xm:sqref>
            </x14:sparkline>
            <x14:sparkline>
              <xm:f>'Unemployment Comparision'!G22:J22</xm:f>
              <xm:sqref>K22</xm:sqref>
            </x14:sparkline>
            <x14:sparkline>
              <xm:f>'Unemployment Comparision'!G23:J23</xm:f>
              <xm:sqref>K23</xm:sqref>
            </x14:sparkline>
            <x14:sparkline>
              <xm:f>'Unemployment Comparision'!G24:J24</xm:f>
              <xm:sqref>K24</xm:sqref>
            </x14:sparkline>
            <x14:sparkline>
              <xm:f>'Unemployment Comparision'!G25:J25</xm:f>
              <xm:sqref>K25</xm:sqref>
            </x14:sparkline>
            <x14:sparkline>
              <xm:f>'Unemployment Comparision'!G26:J26</xm:f>
              <xm:sqref>K26</xm:sqref>
            </x14:sparkline>
            <x14:sparkline>
              <xm:f>'Unemployment Comparision'!G27:J27</xm:f>
              <xm:sqref>K27</xm:sqref>
            </x14:sparkline>
            <x14:sparkline>
              <xm:f>'Unemployment Comparision'!G28:J28</xm:f>
              <xm:sqref>K28</xm:sqref>
            </x14:sparkline>
            <x14:sparkline>
              <xm:f>'Unemployment Comparision'!G29:J29</xm:f>
              <xm:sqref>K29</xm:sqref>
            </x14:sparkline>
            <x14:sparkline>
              <xm:f>'Unemployment Comparision'!G30:J30</xm:f>
              <xm:sqref>K30</xm:sqref>
            </x14:sparkline>
            <x14:sparkline>
              <xm:f>'Unemployment Comparision'!G31:J31</xm:f>
              <xm:sqref>K31</xm:sqref>
            </x14:sparkline>
            <x14:sparkline>
              <xm:f>'Unemployment Comparision'!G32:J32</xm:f>
              <xm:sqref>K32</xm:sqref>
            </x14:sparkline>
            <x14:sparkline>
              <xm:f>'Unemployment Comparision'!G33:J33</xm:f>
              <xm:sqref>K33</xm:sqref>
            </x14:sparkline>
            <x14:sparkline>
              <xm:f>'Unemployment Comparision'!G34:J34</xm:f>
              <xm:sqref>K34</xm:sqref>
            </x14:sparkline>
            <x14:sparkline>
              <xm:f>'Unemployment Comparision'!G35:J35</xm:f>
              <xm:sqref>K35</xm:sqref>
            </x14:sparkline>
            <x14:sparkline>
              <xm:f>'Unemployment Comparision'!G36:J36</xm:f>
              <xm:sqref>K36</xm:sqref>
            </x14:sparkline>
            <x14:sparkline>
              <xm:f>'Unemployment Comparision'!G37:J37</xm:f>
              <xm:sqref>K37</xm:sqref>
            </x14:sparkline>
            <x14:sparkline>
              <xm:f>'Unemployment Comparision'!G38:J38</xm:f>
              <xm:sqref>K38</xm:sqref>
            </x14:sparkline>
            <x14:sparkline>
              <xm:f>'Unemployment Comparision'!G39:J39</xm:f>
              <xm:sqref>K39</xm:sqref>
            </x14:sparkline>
            <x14:sparkline>
              <xm:f>'Unemployment Comparision'!G40:J40</xm:f>
              <xm:sqref>K40</xm:sqref>
            </x14:sparkline>
            <x14:sparkline>
              <xm:f>'Unemployment Comparision'!G41:J41</xm:f>
              <xm:sqref>K41</xm:sqref>
            </x14:sparkline>
            <x14:sparkline>
              <xm:f>'Unemployment Comparision'!G42:J42</xm:f>
              <xm:sqref>K42</xm:sqref>
            </x14:sparkline>
            <x14:sparkline>
              <xm:f>'Unemployment Comparision'!G43:J43</xm:f>
              <xm:sqref>K43</xm:sqref>
            </x14:sparkline>
            <x14:sparkline>
              <xm:f>'Unemployment Comparision'!G44:J44</xm:f>
              <xm:sqref>K44</xm:sqref>
            </x14:sparkline>
            <x14:sparkline>
              <xm:f>'Unemployment Comparision'!G45:J45</xm:f>
              <xm:sqref>K45</xm:sqref>
            </x14:sparkline>
            <x14:sparkline>
              <xm:f>'Unemployment Comparision'!G46:J46</xm:f>
              <xm:sqref>K46</xm:sqref>
            </x14:sparkline>
            <x14:sparkline>
              <xm:f>'Unemployment Comparision'!G47:J47</xm:f>
              <xm:sqref>K47</xm:sqref>
            </x14:sparkline>
            <x14:sparkline>
              <xm:f>'Unemployment Comparision'!G48:J48</xm:f>
              <xm:sqref>K48</xm:sqref>
            </x14:sparkline>
            <x14:sparkline>
              <xm:f>'Unemployment Comparision'!G49:J49</xm:f>
              <xm:sqref>K49</xm:sqref>
            </x14:sparkline>
            <x14:sparkline>
              <xm:f>'Unemployment Comparision'!G50:J50</xm:f>
              <xm:sqref>K50</xm:sqref>
            </x14:sparkline>
            <x14:sparkline>
              <xm:f>'Unemployment Comparision'!G51:J51</xm:f>
              <xm:sqref>K51</xm:sqref>
            </x14:sparkline>
            <x14:sparkline>
              <xm:f>'Unemployment Comparision'!G52:J52</xm:f>
              <xm:sqref>K52</xm:sqref>
            </x14:sparkline>
            <x14:sparkline>
              <xm:f>'Unemployment Comparision'!G53:J53</xm:f>
              <xm:sqref>K53</xm:sqref>
            </x14:sparkline>
            <x14:sparkline>
              <xm:f>'Unemployment Comparision'!G54:J54</xm:f>
              <xm:sqref>K54</xm:sqref>
            </x14:sparkline>
            <x14:sparkline>
              <xm:f>'Unemployment Comparision'!G55:J55</xm:f>
              <xm:sqref>K55</xm:sqref>
            </x14:sparkline>
            <x14:sparkline>
              <xm:f>'Unemployment Comparision'!G56:J56</xm:f>
              <xm:sqref>K56</xm:sqref>
            </x14:sparkline>
          </x14:sparklines>
        </x14:sparklineGroup>
      </x14:sparklineGroups>
    </ex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ED2C7-6F7D-9B4F-9ECF-D109BFD16088}">
  <sheetPr codeName="Sheet9">
    <tabColor theme="1" tint="0.34998626667073579"/>
  </sheetPr>
  <dimension ref="A1:J56"/>
  <sheetViews>
    <sheetView zoomScale="102" workbookViewId="0">
      <selection activeCell="I39" sqref="I39"/>
    </sheetView>
  </sheetViews>
  <sheetFormatPr baseColWidth="10" defaultColWidth="11" defaultRowHeight="16"/>
  <cols>
    <col min="1" max="1" width="6.83203125" bestFit="1" customWidth="1"/>
    <col min="2" max="2" width="18" bestFit="1" customWidth="1"/>
    <col min="3" max="6" width="21.83203125" bestFit="1" customWidth="1"/>
  </cols>
  <sheetData>
    <row r="1" spans="1:10" ht="29">
      <c r="A1" s="107" t="s">
        <v>105</v>
      </c>
      <c r="B1" s="107"/>
      <c r="C1" s="107"/>
      <c r="D1" s="107"/>
      <c r="E1" s="107"/>
      <c r="F1" s="107"/>
      <c r="G1" s="107"/>
    </row>
    <row r="2" spans="1:10">
      <c r="B2" s="8"/>
      <c r="C2" s="8"/>
      <c r="D2" s="8"/>
      <c r="E2" s="8"/>
      <c r="F2" s="8"/>
      <c r="G2" s="8"/>
      <c r="H2" s="8"/>
    </row>
    <row r="4" spans="1:10">
      <c r="B4" t="s">
        <v>0</v>
      </c>
      <c r="C4" t="s">
        <v>101</v>
      </c>
      <c r="D4" t="s">
        <v>102</v>
      </c>
      <c r="E4" t="s">
        <v>103</v>
      </c>
      <c r="F4" t="s">
        <v>104</v>
      </c>
    </row>
    <row r="5" spans="1:10">
      <c r="B5" s="21" t="s">
        <v>10</v>
      </c>
      <c r="C5" s="22">
        <v>5031864</v>
      </c>
      <c r="D5" s="22">
        <v>5050380</v>
      </c>
      <c r="E5" s="22">
        <v>5073903</v>
      </c>
      <c r="F5" s="22">
        <v>5108468</v>
      </c>
    </row>
    <row r="6" spans="1:10">
      <c r="B6" s="21" t="s">
        <v>51</v>
      </c>
      <c r="C6" s="22">
        <v>732964</v>
      </c>
      <c r="D6" s="22">
        <v>734923</v>
      </c>
      <c r="E6" s="22">
        <v>733276</v>
      </c>
      <c r="F6" s="22">
        <v>733406</v>
      </c>
    </row>
    <row r="7" spans="1:10">
      <c r="B7" t="s">
        <v>41</v>
      </c>
      <c r="C7" s="22">
        <v>7186683</v>
      </c>
      <c r="D7" s="22">
        <v>7272487</v>
      </c>
      <c r="E7" s="22">
        <v>7365684</v>
      </c>
      <c r="F7" s="22">
        <v>7431344</v>
      </c>
    </row>
    <row r="8" spans="1:10">
      <c r="B8" t="s">
        <v>12</v>
      </c>
      <c r="C8" s="22">
        <v>3014348</v>
      </c>
      <c r="D8" s="22">
        <v>3028443</v>
      </c>
      <c r="E8" s="22">
        <v>3046404</v>
      </c>
      <c r="F8" s="22">
        <v>3067732</v>
      </c>
    </row>
    <row r="9" spans="1:10">
      <c r="B9" t="s">
        <v>53</v>
      </c>
      <c r="C9" s="22">
        <v>39503200</v>
      </c>
      <c r="D9" s="22">
        <v>39145060</v>
      </c>
      <c r="E9" s="22">
        <v>39040616</v>
      </c>
      <c r="F9" s="22">
        <v>38965193</v>
      </c>
    </row>
    <row r="10" spans="1:10">
      <c r="B10" t="s">
        <v>40</v>
      </c>
      <c r="C10" s="22">
        <v>5785219</v>
      </c>
      <c r="D10" s="22">
        <v>5811596</v>
      </c>
      <c r="E10" s="22">
        <v>5841039</v>
      </c>
      <c r="F10" s="22">
        <v>5877610</v>
      </c>
      <c r="J10" s="5"/>
    </row>
    <row r="11" spans="1:10">
      <c r="B11" t="s">
        <v>44</v>
      </c>
      <c r="C11" s="22">
        <v>3577586</v>
      </c>
      <c r="D11" s="22">
        <v>3603691</v>
      </c>
      <c r="E11" s="22">
        <v>3608706</v>
      </c>
      <c r="F11" s="22">
        <v>3617176</v>
      </c>
    </row>
    <row r="12" spans="1:10">
      <c r="B12" t="s">
        <v>36</v>
      </c>
      <c r="C12" s="22">
        <v>991862</v>
      </c>
      <c r="D12" s="22">
        <v>1004881</v>
      </c>
      <c r="E12" s="22">
        <v>1019459</v>
      </c>
      <c r="F12" s="22">
        <v>1031890</v>
      </c>
    </row>
    <row r="13" spans="1:10">
      <c r="B13" t="s">
        <v>55</v>
      </c>
      <c r="C13" s="22">
        <v>670839</v>
      </c>
      <c r="D13" s="22">
        <v>669037</v>
      </c>
      <c r="E13" s="22">
        <v>670949</v>
      </c>
      <c r="F13" s="22">
        <v>678972</v>
      </c>
    </row>
    <row r="14" spans="1:10">
      <c r="B14" t="s">
        <v>34</v>
      </c>
      <c r="C14" s="22">
        <v>21591299</v>
      </c>
      <c r="D14" s="22">
        <v>21830708</v>
      </c>
      <c r="E14" s="22">
        <v>22245521</v>
      </c>
      <c r="F14" s="22">
        <v>22610726</v>
      </c>
    </row>
    <row r="15" spans="1:10">
      <c r="B15" t="s">
        <v>16</v>
      </c>
      <c r="C15" s="22">
        <v>10732390</v>
      </c>
      <c r="D15" s="22">
        <v>10790385</v>
      </c>
      <c r="E15" s="22">
        <v>10913150</v>
      </c>
      <c r="F15" s="22">
        <v>11029227</v>
      </c>
    </row>
    <row r="16" spans="1:10">
      <c r="B16" t="s">
        <v>56</v>
      </c>
      <c r="C16" s="22">
        <v>1451181</v>
      </c>
      <c r="D16" s="22">
        <v>1446745</v>
      </c>
      <c r="E16" s="22">
        <v>1439399</v>
      </c>
      <c r="F16" s="22">
        <v>1435138</v>
      </c>
    </row>
    <row r="17" spans="2:6">
      <c r="B17" t="s">
        <v>33</v>
      </c>
      <c r="C17" s="22">
        <v>1849339</v>
      </c>
      <c r="D17" s="22">
        <v>1904537</v>
      </c>
      <c r="E17" s="22">
        <v>1938996</v>
      </c>
      <c r="F17" s="22">
        <v>1964726</v>
      </c>
    </row>
    <row r="18" spans="2:6">
      <c r="B18" t="s">
        <v>21</v>
      </c>
      <c r="C18" s="22">
        <v>12790357</v>
      </c>
      <c r="D18" s="22">
        <v>12690341</v>
      </c>
      <c r="E18" s="22">
        <v>12582515</v>
      </c>
      <c r="F18" s="22">
        <v>12549689</v>
      </c>
    </row>
    <row r="19" spans="2:6">
      <c r="B19" t="s">
        <v>19</v>
      </c>
      <c r="C19" s="22">
        <v>6789098</v>
      </c>
      <c r="D19" s="22">
        <v>6813798</v>
      </c>
      <c r="E19" s="22">
        <v>6832274</v>
      </c>
      <c r="F19" s="22">
        <v>6862199</v>
      </c>
    </row>
    <row r="20" spans="2:6">
      <c r="B20" t="s">
        <v>14</v>
      </c>
      <c r="C20" s="22">
        <v>3190904</v>
      </c>
      <c r="D20" s="22">
        <v>3197944</v>
      </c>
      <c r="E20" s="22">
        <v>3199693</v>
      </c>
      <c r="F20" s="22">
        <v>3207004</v>
      </c>
    </row>
    <row r="21" spans="2:6">
      <c r="B21" t="s">
        <v>8</v>
      </c>
      <c r="C21" s="22">
        <v>2938124</v>
      </c>
      <c r="D21" s="22">
        <v>2937946</v>
      </c>
      <c r="E21" s="22">
        <v>2936716</v>
      </c>
      <c r="F21" s="22">
        <v>2940546</v>
      </c>
    </row>
    <row r="22" spans="2:6">
      <c r="B22" t="s">
        <v>20</v>
      </c>
      <c r="C22" s="22">
        <v>4508155</v>
      </c>
      <c r="D22" s="22">
        <v>4507600</v>
      </c>
      <c r="E22" s="22">
        <v>4511563</v>
      </c>
      <c r="F22" s="22">
        <v>4526154</v>
      </c>
    </row>
    <row r="23" spans="2:6">
      <c r="B23" t="s">
        <v>18</v>
      </c>
      <c r="C23" s="22">
        <v>4652022</v>
      </c>
      <c r="D23" s="22">
        <v>4627047</v>
      </c>
      <c r="E23" s="22">
        <v>4588023</v>
      </c>
      <c r="F23" s="22">
        <v>4573749</v>
      </c>
    </row>
    <row r="24" spans="2:6">
      <c r="B24" t="s">
        <v>42</v>
      </c>
      <c r="C24" s="22">
        <v>1364517</v>
      </c>
      <c r="D24" s="22">
        <v>1378787</v>
      </c>
      <c r="E24" s="22">
        <v>1389338</v>
      </c>
      <c r="F24" s="22">
        <v>1395722</v>
      </c>
    </row>
    <row r="25" spans="2:6">
      <c r="B25" t="s">
        <v>50</v>
      </c>
      <c r="C25" s="22">
        <v>6173689</v>
      </c>
      <c r="D25" s="22">
        <v>6175045</v>
      </c>
      <c r="E25" s="22">
        <v>6163981</v>
      </c>
      <c r="F25" s="22">
        <v>6180253</v>
      </c>
    </row>
    <row r="26" spans="2:6">
      <c r="B26" t="s">
        <v>54</v>
      </c>
      <c r="C26" s="22">
        <v>6997713</v>
      </c>
      <c r="D26" s="22">
        <v>6991951</v>
      </c>
      <c r="E26" s="22">
        <v>6982740</v>
      </c>
      <c r="F26" s="22">
        <v>7001399</v>
      </c>
    </row>
    <row r="27" spans="2:6">
      <c r="B27" t="s">
        <v>15</v>
      </c>
      <c r="C27" s="22">
        <v>10070627</v>
      </c>
      <c r="D27" s="22">
        <v>10038117</v>
      </c>
      <c r="E27" s="22">
        <v>10033281</v>
      </c>
      <c r="F27" s="22">
        <v>10037261</v>
      </c>
    </row>
    <row r="28" spans="2:6">
      <c r="B28" t="s">
        <v>26</v>
      </c>
      <c r="C28" s="22">
        <v>5710578</v>
      </c>
      <c r="D28" s="22">
        <v>5717968</v>
      </c>
      <c r="E28" s="22">
        <v>5714300</v>
      </c>
      <c r="F28" s="22">
        <v>5737915</v>
      </c>
    </row>
    <row r="29" spans="2:6">
      <c r="B29" t="s">
        <v>7</v>
      </c>
      <c r="C29" s="22">
        <v>2958409</v>
      </c>
      <c r="D29" s="22">
        <v>2949582</v>
      </c>
      <c r="E29" s="22">
        <v>2938928</v>
      </c>
      <c r="F29" s="22">
        <v>2939690</v>
      </c>
    </row>
    <row r="30" spans="2:6">
      <c r="B30" t="s">
        <v>11</v>
      </c>
      <c r="C30" s="22">
        <v>6154426</v>
      </c>
      <c r="D30" s="22">
        <v>6170393</v>
      </c>
      <c r="E30" s="22">
        <v>6177168</v>
      </c>
      <c r="F30" s="22">
        <v>6196156</v>
      </c>
    </row>
    <row r="31" spans="2:6">
      <c r="B31" t="s">
        <v>38</v>
      </c>
      <c r="C31" s="22">
        <v>1087211</v>
      </c>
      <c r="D31" s="22">
        <v>1106366</v>
      </c>
      <c r="E31" s="22">
        <v>1122878</v>
      </c>
      <c r="F31" s="22">
        <v>1132812</v>
      </c>
    </row>
    <row r="32" spans="2:6">
      <c r="B32" t="s">
        <v>17</v>
      </c>
      <c r="C32" s="22">
        <v>1963273</v>
      </c>
      <c r="D32" s="22">
        <v>1964253</v>
      </c>
      <c r="E32" s="22">
        <v>1968060</v>
      </c>
      <c r="F32" s="22">
        <v>1978379</v>
      </c>
    </row>
    <row r="33" spans="2:6">
      <c r="B33" t="s">
        <v>35</v>
      </c>
      <c r="C33" s="22">
        <v>3115840</v>
      </c>
      <c r="D33" s="22">
        <v>3146632</v>
      </c>
      <c r="E33" s="22">
        <v>3177421</v>
      </c>
      <c r="F33" s="22">
        <v>3194176</v>
      </c>
    </row>
    <row r="34" spans="2:6">
      <c r="B34" t="s">
        <v>46</v>
      </c>
      <c r="C34" s="22">
        <v>1378702</v>
      </c>
      <c r="D34" s="22">
        <v>1387494</v>
      </c>
      <c r="E34" s="22">
        <v>1399003</v>
      </c>
      <c r="F34" s="22">
        <v>1402054</v>
      </c>
    </row>
    <row r="35" spans="2:6">
      <c r="B35" t="s">
        <v>45</v>
      </c>
      <c r="C35" s="22">
        <v>9272392</v>
      </c>
      <c r="D35" s="22">
        <v>9269175</v>
      </c>
      <c r="E35" s="22">
        <v>9260817</v>
      </c>
      <c r="F35" s="22">
        <v>9290841</v>
      </c>
    </row>
    <row r="36" spans="2:6">
      <c r="B36" t="s">
        <v>25</v>
      </c>
      <c r="C36" s="22">
        <v>2118488</v>
      </c>
      <c r="D36" s="22">
        <v>2116950</v>
      </c>
      <c r="E36" s="22">
        <v>2113476</v>
      </c>
      <c r="F36" s="22">
        <v>2114371</v>
      </c>
    </row>
    <row r="37" spans="2:6">
      <c r="B37" t="s">
        <v>52</v>
      </c>
      <c r="C37" s="22">
        <v>20104710</v>
      </c>
      <c r="D37" s="22">
        <v>19854526</v>
      </c>
      <c r="E37" s="22">
        <v>19673200</v>
      </c>
      <c r="F37" s="22">
        <v>19571216</v>
      </c>
    </row>
    <row r="38" spans="2:6">
      <c r="B38" t="s">
        <v>31</v>
      </c>
      <c r="C38" s="22">
        <v>10453812</v>
      </c>
      <c r="D38" s="22">
        <v>10567100</v>
      </c>
      <c r="E38" s="22">
        <v>10695965</v>
      </c>
      <c r="F38" s="22">
        <v>10835491</v>
      </c>
    </row>
    <row r="39" spans="2:6">
      <c r="B39" t="s">
        <v>27</v>
      </c>
      <c r="C39" s="22">
        <v>779563</v>
      </c>
      <c r="D39" s="22">
        <v>777982</v>
      </c>
      <c r="E39" s="22">
        <v>778912</v>
      </c>
      <c r="F39" s="22">
        <v>783926</v>
      </c>
    </row>
    <row r="40" spans="2:6">
      <c r="B40" t="s">
        <v>28</v>
      </c>
      <c r="C40" s="22">
        <v>11798292</v>
      </c>
      <c r="D40" s="22">
        <v>11765227</v>
      </c>
      <c r="E40" s="22">
        <v>11759697</v>
      </c>
      <c r="F40" s="22">
        <v>11785935</v>
      </c>
    </row>
    <row r="41" spans="2:6">
      <c r="B41" t="s">
        <v>6</v>
      </c>
      <c r="C41" s="22">
        <v>3965234</v>
      </c>
      <c r="D41" s="22">
        <v>3991634</v>
      </c>
      <c r="E41" s="22">
        <v>4019271</v>
      </c>
      <c r="F41" s="22">
        <v>4053824</v>
      </c>
    </row>
    <row r="42" spans="2:6">
      <c r="B42" t="s">
        <v>47</v>
      </c>
      <c r="C42" s="22">
        <v>4245044</v>
      </c>
      <c r="D42" s="22">
        <v>4256465</v>
      </c>
      <c r="E42" s="22">
        <v>4239379</v>
      </c>
      <c r="F42" s="22">
        <v>4233358</v>
      </c>
    </row>
    <row r="43" spans="2:6">
      <c r="B43" t="s">
        <v>32</v>
      </c>
      <c r="C43" s="22">
        <v>12995477</v>
      </c>
      <c r="D43" s="22">
        <v>13013614</v>
      </c>
      <c r="E43" s="22">
        <v>12972091</v>
      </c>
      <c r="F43" s="22">
        <v>12961683</v>
      </c>
    </row>
    <row r="44" spans="2:6">
      <c r="B44" t="s">
        <v>43</v>
      </c>
      <c r="C44" s="22">
        <v>1096444</v>
      </c>
      <c r="D44" s="22">
        <v>1097092</v>
      </c>
      <c r="E44" s="22">
        <v>1093842</v>
      </c>
      <c r="F44" s="22">
        <v>1095962</v>
      </c>
    </row>
    <row r="45" spans="2:6">
      <c r="B45" t="s">
        <v>30</v>
      </c>
      <c r="C45" s="22">
        <v>5132151</v>
      </c>
      <c r="D45" s="22">
        <v>5193848</v>
      </c>
      <c r="E45" s="22">
        <v>5282955</v>
      </c>
      <c r="F45" s="22">
        <v>5373555</v>
      </c>
    </row>
    <row r="46" spans="2:6">
      <c r="B46" t="s">
        <v>22</v>
      </c>
      <c r="C46" s="22">
        <v>887852</v>
      </c>
      <c r="D46" s="22">
        <v>896299</v>
      </c>
      <c r="E46" s="22">
        <v>909869</v>
      </c>
      <c r="F46" s="22">
        <v>919318</v>
      </c>
    </row>
    <row r="47" spans="2:6">
      <c r="B47" t="s">
        <v>13</v>
      </c>
      <c r="C47" s="22">
        <v>6926091</v>
      </c>
      <c r="D47" s="22">
        <v>6963709</v>
      </c>
      <c r="E47" s="22">
        <v>7048976</v>
      </c>
      <c r="F47" s="22">
        <v>7126489</v>
      </c>
    </row>
    <row r="48" spans="2:6">
      <c r="B48" t="s">
        <v>24</v>
      </c>
      <c r="C48" s="22">
        <v>29234361</v>
      </c>
      <c r="D48" s="22">
        <v>29561286</v>
      </c>
      <c r="E48" s="22">
        <v>30029848</v>
      </c>
      <c r="F48" s="22">
        <v>30503301</v>
      </c>
    </row>
    <row r="49" spans="1:6">
      <c r="B49" t="s">
        <v>39</v>
      </c>
      <c r="C49" s="22">
        <v>3283982</v>
      </c>
      <c r="D49" s="22">
        <v>3339284</v>
      </c>
      <c r="E49" s="22">
        <v>3381236</v>
      </c>
      <c r="F49" s="22">
        <v>3417734</v>
      </c>
    </row>
    <row r="50" spans="1:6">
      <c r="B50" t="s">
        <v>48</v>
      </c>
      <c r="C50" s="22">
        <v>642936</v>
      </c>
      <c r="D50" s="22">
        <v>647093</v>
      </c>
      <c r="E50" s="22">
        <v>647110</v>
      </c>
      <c r="F50" s="22">
        <v>647464</v>
      </c>
    </row>
    <row r="51" spans="1:6">
      <c r="B51" t="s">
        <v>37</v>
      </c>
      <c r="C51" s="22">
        <v>8637193</v>
      </c>
      <c r="D51" s="22">
        <v>8657348</v>
      </c>
      <c r="E51" s="22">
        <v>8679099</v>
      </c>
      <c r="F51" s="22">
        <v>8715698</v>
      </c>
    </row>
    <row r="52" spans="1:6">
      <c r="B52" t="s">
        <v>49</v>
      </c>
      <c r="C52" s="22">
        <v>7724566</v>
      </c>
      <c r="D52" s="22">
        <v>7741433</v>
      </c>
      <c r="E52" s="22">
        <v>7784477</v>
      </c>
      <c r="F52" s="22">
        <v>7812880</v>
      </c>
    </row>
    <row r="53" spans="1:6">
      <c r="B53" t="s">
        <v>9</v>
      </c>
      <c r="C53" s="22">
        <v>1791562</v>
      </c>
      <c r="D53" s="22">
        <v>1785249</v>
      </c>
      <c r="E53" s="22">
        <v>1774035</v>
      </c>
      <c r="F53" s="22">
        <v>1770071</v>
      </c>
    </row>
    <row r="54" spans="1:6">
      <c r="B54" t="s">
        <v>29</v>
      </c>
      <c r="C54" s="22">
        <v>5896700</v>
      </c>
      <c r="D54" s="22">
        <v>5879978</v>
      </c>
      <c r="E54" s="22">
        <v>5890543</v>
      </c>
      <c r="F54" s="22">
        <v>5910955</v>
      </c>
    </row>
    <row r="55" spans="1:6">
      <c r="B55" t="s">
        <v>23</v>
      </c>
      <c r="C55" s="22">
        <v>577664</v>
      </c>
      <c r="D55" s="22">
        <v>579548</v>
      </c>
      <c r="E55" s="22">
        <v>581629</v>
      </c>
      <c r="F55" s="22">
        <v>584057</v>
      </c>
    </row>
    <row r="56" spans="1:6">
      <c r="A56" s="13"/>
      <c r="B56" s="7"/>
      <c r="C56" s="7"/>
      <c r="D56" s="7"/>
      <c r="E56" s="7"/>
    </row>
  </sheetData>
  <sheetProtection sheet="1" objects="1" scenarios="1" sort="0"/>
  <mergeCells count="1">
    <mergeCell ref="A1:G1"/>
  </mergeCells>
  <pageMargins left="0.7" right="0.7" top="0.75" bottom="0.75" header="0.3" footer="0.3"/>
  <pageSetup orientation="portrait" horizontalDpi="0"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5EF06-BD97-8A47-B0D9-F32AFA668810}">
  <sheetPr codeName="Sheet3">
    <tabColor theme="1" tint="0.34998626667073579"/>
  </sheetPr>
  <dimension ref="A1:L56"/>
  <sheetViews>
    <sheetView zoomScale="75" zoomScaleNormal="120" workbookViewId="0">
      <selection activeCell="I39" sqref="I39"/>
    </sheetView>
  </sheetViews>
  <sheetFormatPr baseColWidth="10" defaultColWidth="11" defaultRowHeight="16"/>
  <cols>
    <col min="1" max="1" width="6.83203125" bestFit="1" customWidth="1"/>
    <col min="2" max="2" width="19" bestFit="1" customWidth="1"/>
    <col min="3" max="3" width="15.1640625" bestFit="1" customWidth="1"/>
    <col min="4" max="4" width="15.83203125" bestFit="1" customWidth="1"/>
    <col min="5" max="5" width="22.6640625" bestFit="1" customWidth="1"/>
    <col min="6" max="6" width="15.83203125" bestFit="1" customWidth="1"/>
    <col min="7" max="7" width="14.83203125" bestFit="1" customWidth="1"/>
    <col min="8" max="8" width="23.33203125" bestFit="1" customWidth="1"/>
    <col min="9" max="9" width="15.5" customWidth="1"/>
    <col min="11" max="11" width="14.33203125" customWidth="1"/>
    <col min="14" max="14" width="16.33203125" customWidth="1"/>
  </cols>
  <sheetData>
    <row r="1" spans="1:12" s="9" customFormat="1" ht="24">
      <c r="A1" s="108" t="s">
        <v>57</v>
      </c>
      <c r="B1" s="108"/>
      <c r="C1" s="108"/>
      <c r="D1" s="108"/>
      <c r="E1" s="108"/>
      <c r="F1" s="108"/>
      <c r="G1" s="108"/>
      <c r="H1" s="108"/>
      <c r="I1" s="108"/>
      <c r="J1" s="108"/>
      <c r="K1" s="108"/>
      <c r="L1" s="24"/>
    </row>
    <row r="2" spans="1:12">
      <c r="A2" s="1"/>
      <c r="B2" s="6"/>
      <c r="C2" s="6"/>
      <c r="D2" s="6"/>
      <c r="E2" s="6"/>
      <c r="F2" s="6"/>
      <c r="G2" s="6"/>
      <c r="H2" s="6"/>
      <c r="I2" s="6"/>
    </row>
    <row r="4" spans="1:12" ht="18">
      <c r="B4" s="15" t="s">
        <v>0</v>
      </c>
      <c r="C4" s="15" t="s">
        <v>117</v>
      </c>
      <c r="D4" s="15" t="s">
        <v>118</v>
      </c>
      <c r="E4" s="15" t="s">
        <v>1</v>
      </c>
      <c r="F4" s="15" t="s">
        <v>2</v>
      </c>
      <c r="G4" s="15" t="s">
        <v>3</v>
      </c>
      <c r="H4" s="15" t="s">
        <v>4</v>
      </c>
      <c r="I4" s="15" t="s">
        <v>5</v>
      </c>
      <c r="J4" s="15" t="s">
        <v>119</v>
      </c>
    </row>
    <row r="5" spans="1:12">
      <c r="B5" s="11" t="s">
        <v>10</v>
      </c>
      <c r="C5" s="26">
        <v>5</v>
      </c>
      <c r="D5" s="12">
        <v>88.3</v>
      </c>
      <c r="E5" s="12">
        <v>96.1</v>
      </c>
      <c r="F5" s="12">
        <v>70</v>
      </c>
      <c r="G5" s="12">
        <v>102.4</v>
      </c>
      <c r="H5" s="12">
        <v>90.8</v>
      </c>
      <c r="I5" s="12">
        <v>87</v>
      </c>
      <c r="J5" s="12">
        <v>95.8</v>
      </c>
    </row>
    <row r="6" spans="1:12">
      <c r="B6" s="11" t="s">
        <v>51</v>
      </c>
      <c r="C6" s="26">
        <v>46</v>
      </c>
      <c r="D6" s="12">
        <v>125.2</v>
      </c>
      <c r="E6" s="12">
        <v>123.5</v>
      </c>
      <c r="F6" s="12">
        <v>122.5</v>
      </c>
      <c r="G6" s="12">
        <v>157.9</v>
      </c>
      <c r="H6" s="12">
        <v>115.3</v>
      </c>
      <c r="I6" s="12">
        <v>148.1</v>
      </c>
      <c r="J6" s="12">
        <v>119.7</v>
      </c>
    </row>
    <row r="7" spans="1:12">
      <c r="B7" s="11" t="s">
        <v>41</v>
      </c>
      <c r="C7" s="26">
        <v>36</v>
      </c>
      <c r="D7" s="12">
        <v>108.4</v>
      </c>
      <c r="E7" s="12">
        <v>102.2</v>
      </c>
      <c r="F7" s="12">
        <v>124.1</v>
      </c>
      <c r="G7" s="12">
        <v>95.3</v>
      </c>
      <c r="H7" s="12">
        <v>106.1</v>
      </c>
      <c r="I7" s="12">
        <v>93.8</v>
      </c>
      <c r="J7" s="12">
        <v>104.1</v>
      </c>
    </row>
    <row r="8" spans="1:12">
      <c r="B8" s="11" t="s">
        <v>12</v>
      </c>
      <c r="C8" s="26">
        <v>7</v>
      </c>
      <c r="D8" s="12">
        <v>89</v>
      </c>
      <c r="E8" s="12">
        <v>95.3</v>
      </c>
      <c r="F8" s="12">
        <v>74.599999999999994</v>
      </c>
      <c r="G8" s="12">
        <v>91.6</v>
      </c>
      <c r="H8" s="12">
        <v>89.6</v>
      </c>
      <c r="I8" s="12">
        <v>87.5</v>
      </c>
      <c r="J8" s="12">
        <v>97.7</v>
      </c>
    </row>
    <row r="9" spans="1:12">
      <c r="B9" s="11" t="s">
        <v>53</v>
      </c>
      <c r="C9" s="26">
        <v>48</v>
      </c>
      <c r="D9" s="12">
        <v>138.5</v>
      </c>
      <c r="E9" s="12">
        <v>112</v>
      </c>
      <c r="F9" s="12">
        <v>198.8</v>
      </c>
      <c r="G9" s="12">
        <v>126.8</v>
      </c>
      <c r="H9" s="12">
        <v>125.6</v>
      </c>
      <c r="I9" s="12">
        <v>108.5</v>
      </c>
      <c r="J9" s="12">
        <v>110.8</v>
      </c>
    </row>
    <row r="10" spans="1:12">
      <c r="B10" s="11" t="s">
        <v>40</v>
      </c>
      <c r="C10" s="26">
        <v>35</v>
      </c>
      <c r="D10" s="12">
        <v>105.1</v>
      </c>
      <c r="E10" s="12">
        <v>101.4</v>
      </c>
      <c r="F10" s="12">
        <v>113.6</v>
      </c>
      <c r="G10" s="12">
        <v>91.3</v>
      </c>
      <c r="H10" s="12">
        <v>105.2</v>
      </c>
      <c r="I10" s="12">
        <v>100.4</v>
      </c>
      <c r="J10" s="12">
        <v>103.8</v>
      </c>
    </row>
    <row r="11" spans="1:12">
      <c r="B11" s="11" t="s">
        <v>44</v>
      </c>
      <c r="C11" s="26">
        <v>39</v>
      </c>
      <c r="D11" s="12">
        <v>112.8</v>
      </c>
      <c r="E11" s="12">
        <v>101.7</v>
      </c>
      <c r="F11" s="12">
        <v>122.6</v>
      </c>
      <c r="G11" s="12">
        <v>130.4</v>
      </c>
      <c r="H11" s="12">
        <v>100.4</v>
      </c>
      <c r="I11" s="12">
        <v>108.7</v>
      </c>
      <c r="J11" s="12">
        <v>109.5</v>
      </c>
    </row>
    <row r="12" spans="1:12">
      <c r="B12" s="11" t="s">
        <v>36</v>
      </c>
      <c r="C12" s="26">
        <v>31</v>
      </c>
      <c r="D12" s="12">
        <v>101.1</v>
      </c>
      <c r="E12" s="12">
        <v>102</v>
      </c>
      <c r="F12" s="12">
        <v>97</v>
      </c>
      <c r="G12" s="12">
        <v>97.9</v>
      </c>
      <c r="H12" s="12">
        <v>102.1</v>
      </c>
      <c r="I12" s="12">
        <v>103.2</v>
      </c>
      <c r="J12" s="12">
        <v>104.5</v>
      </c>
    </row>
    <row r="13" spans="1:12">
      <c r="B13" s="11" t="s">
        <v>55</v>
      </c>
      <c r="C13" s="26">
        <v>50</v>
      </c>
      <c r="D13" s="12">
        <v>146.80000000000001</v>
      </c>
      <c r="E13" s="12">
        <v>105.4</v>
      </c>
      <c r="F13" s="12">
        <v>237.7</v>
      </c>
      <c r="G13" s="12">
        <v>110.6</v>
      </c>
      <c r="H13" s="12">
        <v>105.5</v>
      </c>
      <c r="I13" s="12">
        <v>110</v>
      </c>
      <c r="J13" s="12">
        <v>116.6</v>
      </c>
    </row>
    <row r="14" spans="1:12">
      <c r="B14" s="11" t="s">
        <v>34</v>
      </c>
      <c r="C14" s="26">
        <v>29</v>
      </c>
      <c r="D14" s="12">
        <v>100.7</v>
      </c>
      <c r="E14" s="12">
        <v>99.5</v>
      </c>
      <c r="F14" s="12">
        <v>106.3</v>
      </c>
      <c r="G14" s="12">
        <v>97.3</v>
      </c>
      <c r="H14" s="12">
        <v>99.3</v>
      </c>
      <c r="I14" s="12">
        <v>96.5</v>
      </c>
      <c r="J14" s="12">
        <v>98.4</v>
      </c>
    </row>
    <row r="15" spans="1:12">
      <c r="B15" s="11" t="s">
        <v>16</v>
      </c>
      <c r="C15" s="26">
        <v>11</v>
      </c>
      <c r="D15" s="12">
        <v>90.8</v>
      </c>
      <c r="E15" s="12">
        <v>98.1</v>
      </c>
      <c r="F15" s="12">
        <v>78.2</v>
      </c>
      <c r="G15" s="12">
        <v>85.5</v>
      </c>
      <c r="H15" s="12">
        <v>93.5</v>
      </c>
      <c r="I15" s="12">
        <v>100.3</v>
      </c>
      <c r="J15" s="12">
        <v>97.3</v>
      </c>
    </row>
    <row r="16" spans="1:12">
      <c r="B16" s="11" t="s">
        <v>56</v>
      </c>
      <c r="C16" s="26">
        <v>51</v>
      </c>
      <c r="D16" s="12">
        <v>180.3</v>
      </c>
      <c r="E16" s="12">
        <v>116.7</v>
      </c>
      <c r="F16" s="12">
        <v>313.10000000000002</v>
      </c>
      <c r="G16" s="12">
        <v>151.30000000000001</v>
      </c>
      <c r="H16" s="12">
        <v>135</v>
      </c>
      <c r="I16" s="12">
        <v>123.1</v>
      </c>
      <c r="J16" s="12">
        <v>126.8</v>
      </c>
    </row>
    <row r="17" spans="2:10">
      <c r="B17" s="11" t="s">
        <v>33</v>
      </c>
      <c r="C17" s="26">
        <v>28</v>
      </c>
      <c r="D17" s="12">
        <v>98.6</v>
      </c>
      <c r="E17" s="12">
        <v>101</v>
      </c>
      <c r="F17" s="12">
        <v>96</v>
      </c>
      <c r="G17" s="12">
        <v>85.7</v>
      </c>
      <c r="H17" s="12">
        <v>105.2</v>
      </c>
      <c r="I17" s="12">
        <v>98.9</v>
      </c>
      <c r="J17" s="12">
        <v>101</v>
      </c>
    </row>
    <row r="18" spans="2:10">
      <c r="B18" s="11" t="s">
        <v>21</v>
      </c>
      <c r="C18" s="26">
        <v>16</v>
      </c>
      <c r="D18" s="12">
        <v>92.1</v>
      </c>
      <c r="E18" s="12">
        <v>98</v>
      </c>
      <c r="F18" s="12">
        <v>79.8</v>
      </c>
      <c r="G18" s="12">
        <v>88.6</v>
      </c>
      <c r="H18" s="12">
        <v>103</v>
      </c>
      <c r="I18" s="12">
        <v>95</v>
      </c>
      <c r="J18" s="12">
        <v>96.8</v>
      </c>
    </row>
    <row r="19" spans="2:10">
      <c r="B19" s="11" t="s">
        <v>19</v>
      </c>
      <c r="C19" s="26">
        <v>14</v>
      </c>
      <c r="D19" s="12">
        <v>91</v>
      </c>
      <c r="E19" s="12">
        <v>98.5</v>
      </c>
      <c r="F19" s="12">
        <v>75.8</v>
      </c>
      <c r="G19" s="12">
        <v>106.7</v>
      </c>
      <c r="H19" s="12">
        <v>95.4</v>
      </c>
      <c r="I19" s="12">
        <v>96.4</v>
      </c>
      <c r="J19" s="12">
        <v>94.4</v>
      </c>
    </row>
    <row r="20" spans="2:10">
      <c r="B20" s="11" t="s">
        <v>14</v>
      </c>
      <c r="C20" s="26">
        <v>9</v>
      </c>
      <c r="D20" s="12">
        <v>90.3</v>
      </c>
      <c r="E20" s="12">
        <v>96.6</v>
      </c>
      <c r="F20" s="12">
        <v>74.099999999999994</v>
      </c>
      <c r="G20" s="12">
        <v>95.5</v>
      </c>
      <c r="H20" s="12">
        <v>98.6</v>
      </c>
      <c r="I20" s="12">
        <v>99.4</v>
      </c>
      <c r="J20" s="12">
        <v>95.9</v>
      </c>
    </row>
    <row r="21" spans="2:10">
      <c r="B21" s="11" t="s">
        <v>8</v>
      </c>
      <c r="C21" s="26">
        <v>3</v>
      </c>
      <c r="D21" s="12">
        <v>87.1</v>
      </c>
      <c r="E21" s="12">
        <v>97.2</v>
      </c>
      <c r="F21" s="12">
        <v>67.400000000000006</v>
      </c>
      <c r="G21" s="12">
        <v>106.6</v>
      </c>
      <c r="H21" s="12">
        <v>90.1</v>
      </c>
      <c r="I21" s="12">
        <v>96.9</v>
      </c>
      <c r="J21" s="12">
        <v>91.8</v>
      </c>
    </row>
    <row r="22" spans="2:10">
      <c r="B22" s="11" t="s">
        <v>20</v>
      </c>
      <c r="C22" s="26">
        <v>15</v>
      </c>
      <c r="D22" s="12">
        <v>92</v>
      </c>
      <c r="E22" s="12">
        <v>101.3</v>
      </c>
      <c r="F22" s="12">
        <v>73.7</v>
      </c>
      <c r="G22" s="12">
        <v>104.4</v>
      </c>
      <c r="H22" s="12">
        <v>92</v>
      </c>
      <c r="I22" s="12">
        <v>83.7</v>
      </c>
      <c r="J22" s="12">
        <v>101.3</v>
      </c>
    </row>
    <row r="23" spans="2:10">
      <c r="B23" s="11" t="s">
        <v>18</v>
      </c>
      <c r="C23" s="26">
        <v>13</v>
      </c>
      <c r="D23" s="12">
        <v>91</v>
      </c>
      <c r="E23" s="12">
        <v>95</v>
      </c>
      <c r="F23" s="12">
        <v>81.599999999999994</v>
      </c>
      <c r="G23" s="12">
        <v>84</v>
      </c>
      <c r="H23" s="12">
        <v>95.8</v>
      </c>
      <c r="I23" s="12">
        <v>98.7</v>
      </c>
      <c r="J23" s="12">
        <v>96.5</v>
      </c>
    </row>
    <row r="24" spans="2:10">
      <c r="B24" s="11" t="s">
        <v>42</v>
      </c>
      <c r="C24" s="26">
        <v>37</v>
      </c>
      <c r="D24" s="12">
        <v>109.9</v>
      </c>
      <c r="E24" s="12">
        <v>101.8</v>
      </c>
      <c r="F24" s="12">
        <v>117.4</v>
      </c>
      <c r="G24" s="12">
        <v>106.7</v>
      </c>
      <c r="H24" s="12">
        <v>109</v>
      </c>
      <c r="I24" s="12">
        <v>102.9</v>
      </c>
      <c r="J24" s="12">
        <v>109.3</v>
      </c>
    </row>
    <row r="25" spans="2:10">
      <c r="B25" s="11" t="s">
        <v>50</v>
      </c>
      <c r="C25" s="26">
        <v>45</v>
      </c>
      <c r="D25" s="12">
        <v>116.5</v>
      </c>
      <c r="E25" s="12">
        <v>106.4</v>
      </c>
      <c r="F25" s="12">
        <v>146.4</v>
      </c>
      <c r="G25" s="12">
        <v>110.7</v>
      </c>
      <c r="H25" s="12">
        <v>98.3</v>
      </c>
      <c r="I25" s="12">
        <v>97.4</v>
      </c>
      <c r="J25" s="12">
        <v>105.9</v>
      </c>
    </row>
    <row r="26" spans="2:10">
      <c r="B26" s="11" t="s">
        <v>54</v>
      </c>
      <c r="C26" s="26">
        <v>49</v>
      </c>
      <c r="D26" s="12">
        <v>146.5</v>
      </c>
      <c r="E26" s="12">
        <v>105.3</v>
      </c>
      <c r="F26" s="12">
        <v>218.5</v>
      </c>
      <c r="G26" s="12">
        <v>133.9</v>
      </c>
      <c r="H26" s="12">
        <v>117.5</v>
      </c>
      <c r="I26" s="12">
        <v>112.9</v>
      </c>
      <c r="J26" s="12">
        <v>121.6</v>
      </c>
    </row>
    <row r="27" spans="2:10">
      <c r="B27" s="11" t="s">
        <v>15</v>
      </c>
      <c r="C27" s="26">
        <v>10</v>
      </c>
      <c r="D27" s="12">
        <v>90.6</v>
      </c>
      <c r="E27" s="12">
        <v>98.8</v>
      </c>
      <c r="F27" s="12">
        <v>77.099999999999994</v>
      </c>
      <c r="G27" s="12">
        <v>101.1</v>
      </c>
      <c r="H27" s="12">
        <v>96.7</v>
      </c>
      <c r="I27" s="12">
        <v>93.3</v>
      </c>
      <c r="J27" s="12">
        <v>93.1</v>
      </c>
    </row>
    <row r="28" spans="2:10">
      <c r="B28" s="11" t="s">
        <v>26</v>
      </c>
      <c r="C28" s="26">
        <v>21</v>
      </c>
      <c r="D28" s="12">
        <v>94.1</v>
      </c>
      <c r="E28" s="12">
        <v>98.2</v>
      </c>
      <c r="F28" s="12">
        <v>82.1</v>
      </c>
      <c r="G28" s="12">
        <v>93.4</v>
      </c>
      <c r="H28" s="12">
        <v>97.2</v>
      </c>
      <c r="I28" s="12">
        <v>109.2</v>
      </c>
      <c r="J28" s="12">
        <v>99.5</v>
      </c>
    </row>
    <row r="29" spans="2:10">
      <c r="B29" s="11" t="s">
        <v>7</v>
      </c>
      <c r="C29" s="26">
        <v>2</v>
      </c>
      <c r="D29" s="12">
        <v>86.3</v>
      </c>
      <c r="E29" s="12">
        <v>97.2</v>
      </c>
      <c r="F29" s="12">
        <v>70.900000000000006</v>
      </c>
      <c r="G29" s="12">
        <v>86</v>
      </c>
      <c r="H29" s="12">
        <v>87.7</v>
      </c>
      <c r="I29" s="12">
        <v>98.4</v>
      </c>
      <c r="J29" s="12">
        <v>92.5</v>
      </c>
    </row>
    <row r="30" spans="2:10">
      <c r="B30" s="11" t="s">
        <v>11</v>
      </c>
      <c r="C30" s="26">
        <v>6</v>
      </c>
      <c r="D30" s="12">
        <v>88.5</v>
      </c>
      <c r="E30" s="12">
        <v>95.3</v>
      </c>
      <c r="F30" s="12">
        <v>77</v>
      </c>
      <c r="G30" s="12">
        <v>98.6</v>
      </c>
      <c r="H30" s="12">
        <v>90.9</v>
      </c>
      <c r="I30" s="12">
        <v>89.9</v>
      </c>
      <c r="J30" s="12">
        <v>91.5</v>
      </c>
    </row>
    <row r="31" spans="2:10">
      <c r="B31" s="11" t="s">
        <v>38</v>
      </c>
      <c r="C31" s="26">
        <v>33</v>
      </c>
      <c r="D31" s="12">
        <v>102.9</v>
      </c>
      <c r="E31" s="12">
        <v>102.5</v>
      </c>
      <c r="F31" s="12">
        <v>103.8</v>
      </c>
      <c r="G31" s="12">
        <v>92.8</v>
      </c>
      <c r="H31" s="12">
        <v>109</v>
      </c>
      <c r="I31" s="12">
        <v>97.7</v>
      </c>
      <c r="J31" s="12">
        <v>103.8</v>
      </c>
    </row>
    <row r="32" spans="2:10">
      <c r="B32" s="11" t="s">
        <v>17</v>
      </c>
      <c r="C32" s="26">
        <v>12</v>
      </c>
      <c r="D32" s="12">
        <v>90.9</v>
      </c>
      <c r="E32" s="12">
        <v>95.8</v>
      </c>
      <c r="F32" s="12">
        <v>78.599999999999994</v>
      </c>
      <c r="G32" s="12">
        <v>85.7</v>
      </c>
      <c r="H32" s="12">
        <v>100</v>
      </c>
      <c r="I32" s="12">
        <v>97.9</v>
      </c>
      <c r="J32" s="12">
        <v>96.4</v>
      </c>
    </row>
    <row r="33" spans="2:10">
      <c r="B33" s="11" t="s">
        <v>35</v>
      </c>
      <c r="C33" s="26">
        <v>30</v>
      </c>
      <c r="D33" s="12">
        <v>101</v>
      </c>
      <c r="E33" s="12">
        <v>102.9</v>
      </c>
      <c r="F33" s="12">
        <v>107.4</v>
      </c>
      <c r="G33" s="12">
        <v>99.1</v>
      </c>
      <c r="H33" s="12">
        <v>116.6</v>
      </c>
      <c r="I33" s="12">
        <v>91.7</v>
      </c>
      <c r="J33" s="12">
        <v>91.6</v>
      </c>
    </row>
    <row r="34" spans="2:10">
      <c r="B34" s="11" t="s">
        <v>46</v>
      </c>
      <c r="C34" s="26">
        <v>41</v>
      </c>
      <c r="D34" s="12">
        <v>114.1</v>
      </c>
      <c r="E34" s="12">
        <v>102</v>
      </c>
      <c r="F34" s="12">
        <v>109.5</v>
      </c>
      <c r="G34" s="12">
        <v>131</v>
      </c>
      <c r="H34" s="12">
        <v>109.9</v>
      </c>
      <c r="I34" s="12">
        <v>113.2</v>
      </c>
      <c r="J34" s="12">
        <v>120.2</v>
      </c>
    </row>
    <row r="35" spans="2:10">
      <c r="B35" s="11" t="s">
        <v>45</v>
      </c>
      <c r="C35" s="26">
        <v>40</v>
      </c>
      <c r="D35" s="12">
        <v>113.9</v>
      </c>
      <c r="E35" s="12">
        <v>102.6</v>
      </c>
      <c r="F35" s="12">
        <v>135.80000000000001</v>
      </c>
      <c r="G35" s="12">
        <v>108.3</v>
      </c>
      <c r="H35" s="12">
        <v>104.7</v>
      </c>
      <c r="I35" s="12">
        <v>99.3</v>
      </c>
      <c r="J35" s="12">
        <v>107.1</v>
      </c>
    </row>
    <row r="36" spans="2:10">
      <c r="B36" s="11" t="s">
        <v>25</v>
      </c>
      <c r="C36" s="26">
        <v>20</v>
      </c>
      <c r="D36" s="12">
        <v>94</v>
      </c>
      <c r="E36" s="12">
        <v>96.4</v>
      </c>
      <c r="F36" s="12">
        <v>87.3</v>
      </c>
      <c r="G36" s="12">
        <v>93.1</v>
      </c>
      <c r="H36" s="12">
        <v>94.7</v>
      </c>
      <c r="I36" s="12">
        <v>99.3</v>
      </c>
      <c r="J36" s="12">
        <v>97.9</v>
      </c>
    </row>
    <row r="37" spans="2:10">
      <c r="B37" s="11" t="s">
        <v>52</v>
      </c>
      <c r="C37" s="26">
        <v>47</v>
      </c>
      <c r="D37" s="12">
        <v>125.9</v>
      </c>
      <c r="E37" s="12">
        <v>103.2</v>
      </c>
      <c r="F37" s="12">
        <v>176</v>
      </c>
      <c r="G37" s="12">
        <v>103.1</v>
      </c>
      <c r="H37" s="12">
        <v>106</v>
      </c>
      <c r="I37" s="12">
        <v>106.4</v>
      </c>
      <c r="J37" s="12">
        <v>108.8</v>
      </c>
    </row>
    <row r="38" spans="2:10">
      <c r="B38" s="11" t="s">
        <v>31</v>
      </c>
      <c r="C38" s="26">
        <v>26</v>
      </c>
      <c r="D38" s="12">
        <v>95.3</v>
      </c>
      <c r="E38" s="12">
        <v>98.1</v>
      </c>
      <c r="F38" s="12">
        <v>90.2</v>
      </c>
      <c r="G38" s="12">
        <v>94.5</v>
      </c>
      <c r="H38" s="12">
        <v>91.8</v>
      </c>
      <c r="I38" s="12">
        <v>108.1</v>
      </c>
      <c r="J38" s="12">
        <v>97.9</v>
      </c>
    </row>
    <row r="39" spans="2:10">
      <c r="B39" s="11" t="s">
        <v>27</v>
      </c>
      <c r="C39" s="26">
        <v>22</v>
      </c>
      <c r="D39" s="12">
        <v>94.6</v>
      </c>
      <c r="E39" s="12">
        <v>94.2</v>
      </c>
      <c r="F39" s="12">
        <v>83.4</v>
      </c>
      <c r="G39" s="12">
        <v>99.2</v>
      </c>
      <c r="H39" s="12">
        <v>99.3</v>
      </c>
      <c r="I39" s="12">
        <v>111.2</v>
      </c>
      <c r="J39" s="12">
        <v>99.2</v>
      </c>
    </row>
    <row r="40" spans="2:10">
      <c r="B40" s="11" t="s">
        <v>28</v>
      </c>
      <c r="C40" s="26">
        <v>23</v>
      </c>
      <c r="D40" s="12">
        <v>94.7</v>
      </c>
      <c r="E40" s="12">
        <v>101.4</v>
      </c>
      <c r="F40" s="12">
        <v>81.2</v>
      </c>
      <c r="G40" s="12">
        <v>99.2</v>
      </c>
      <c r="H40" s="12">
        <v>100.4</v>
      </c>
      <c r="I40" s="12">
        <v>97.9</v>
      </c>
      <c r="J40" s="12">
        <v>99.5</v>
      </c>
    </row>
    <row r="41" spans="2:10">
      <c r="B41" s="11" t="s">
        <v>6</v>
      </c>
      <c r="C41" s="26">
        <v>1</v>
      </c>
      <c r="D41" s="12">
        <v>86.2</v>
      </c>
      <c r="E41" s="12">
        <v>94.4</v>
      </c>
      <c r="F41" s="12">
        <v>68.5</v>
      </c>
      <c r="G41" s="12">
        <v>98.2</v>
      </c>
      <c r="H41" s="12">
        <v>92.6</v>
      </c>
      <c r="I41" s="12">
        <v>92.6</v>
      </c>
      <c r="J41" s="12">
        <v>91.3</v>
      </c>
    </row>
    <row r="42" spans="2:10">
      <c r="B42" s="11" t="s">
        <v>47</v>
      </c>
      <c r="C42" s="26">
        <v>42</v>
      </c>
      <c r="D42" s="12">
        <v>114.7</v>
      </c>
      <c r="E42" s="12">
        <v>108.8</v>
      </c>
      <c r="F42" s="12">
        <v>136.30000000000001</v>
      </c>
      <c r="G42" s="12">
        <v>95.9</v>
      </c>
      <c r="H42" s="12">
        <v>116.6</v>
      </c>
      <c r="I42" s="12">
        <v>105.3</v>
      </c>
      <c r="J42" s="12">
        <v>104.9</v>
      </c>
    </row>
    <row r="43" spans="2:10">
      <c r="B43" s="11" t="s">
        <v>32</v>
      </c>
      <c r="C43" s="26">
        <v>27</v>
      </c>
      <c r="D43" s="12">
        <v>95.6</v>
      </c>
      <c r="E43" s="12">
        <v>99.5</v>
      </c>
      <c r="F43" s="12">
        <v>81.900000000000006</v>
      </c>
      <c r="G43" s="12">
        <v>107.3</v>
      </c>
      <c r="H43" s="12">
        <v>105.6</v>
      </c>
      <c r="I43" s="12">
        <v>94.3</v>
      </c>
      <c r="J43" s="12">
        <v>99.3</v>
      </c>
    </row>
    <row r="44" spans="2:10">
      <c r="B44" s="11" t="s">
        <v>43</v>
      </c>
      <c r="C44" s="26">
        <v>38</v>
      </c>
      <c r="D44" s="12">
        <v>110.7</v>
      </c>
      <c r="E44" s="12">
        <v>101.7</v>
      </c>
      <c r="F44" s="12">
        <v>116.8</v>
      </c>
      <c r="G44" s="12">
        <v>112.4</v>
      </c>
      <c r="H44" s="12">
        <v>92.5</v>
      </c>
      <c r="I44" s="12">
        <v>107.7</v>
      </c>
      <c r="J44" s="12">
        <v>115.3</v>
      </c>
    </row>
    <row r="45" spans="2:10">
      <c r="B45" s="11" t="s">
        <v>30</v>
      </c>
      <c r="C45" s="26">
        <v>25</v>
      </c>
      <c r="D45" s="12">
        <v>95.3</v>
      </c>
      <c r="E45" s="12">
        <v>99.2</v>
      </c>
      <c r="F45" s="12">
        <v>86.5</v>
      </c>
      <c r="G45" s="12">
        <v>106.5</v>
      </c>
      <c r="H45" s="12">
        <v>90.8</v>
      </c>
      <c r="I45" s="12">
        <v>94.5</v>
      </c>
      <c r="J45" s="12">
        <v>99.5</v>
      </c>
    </row>
    <row r="46" spans="2:10">
      <c r="B46" s="11" t="s">
        <v>22</v>
      </c>
      <c r="C46" s="26">
        <v>17</v>
      </c>
      <c r="D46" s="12">
        <v>92.4</v>
      </c>
      <c r="E46" s="12">
        <v>97</v>
      </c>
      <c r="F46" s="12">
        <v>87.1</v>
      </c>
      <c r="G46" s="12">
        <v>87.5</v>
      </c>
      <c r="H46" s="12">
        <v>97.4</v>
      </c>
      <c r="I46" s="12">
        <v>97.9</v>
      </c>
      <c r="J46" s="12">
        <v>93.7</v>
      </c>
    </row>
    <row r="47" spans="2:10">
      <c r="B47" s="11" t="s">
        <v>13</v>
      </c>
      <c r="C47" s="26">
        <v>8</v>
      </c>
      <c r="D47" s="12">
        <v>90.3</v>
      </c>
      <c r="E47" s="12">
        <v>97.7</v>
      </c>
      <c r="F47" s="12">
        <v>82.4</v>
      </c>
      <c r="G47" s="12">
        <v>92.6</v>
      </c>
      <c r="H47" s="12">
        <v>88.7</v>
      </c>
      <c r="I47" s="12">
        <v>88.1</v>
      </c>
      <c r="J47" s="12">
        <v>93.9</v>
      </c>
    </row>
    <row r="48" spans="2:10">
      <c r="B48" s="11" t="s">
        <v>24</v>
      </c>
      <c r="C48" s="26">
        <v>19</v>
      </c>
      <c r="D48" s="12">
        <v>92.7</v>
      </c>
      <c r="E48" s="12">
        <v>95.7</v>
      </c>
      <c r="F48" s="12">
        <v>83.1</v>
      </c>
      <c r="G48" s="12">
        <v>104</v>
      </c>
      <c r="H48" s="12">
        <v>91.8</v>
      </c>
      <c r="I48" s="12">
        <v>93.9</v>
      </c>
      <c r="J48" s="12">
        <v>96.4</v>
      </c>
    </row>
    <row r="49" spans="1:10">
      <c r="B49" s="11" t="s">
        <v>39</v>
      </c>
      <c r="C49" s="26">
        <v>34</v>
      </c>
      <c r="D49" s="12">
        <v>103.2</v>
      </c>
      <c r="E49" s="12">
        <v>99.3</v>
      </c>
      <c r="F49" s="12">
        <v>110.7</v>
      </c>
      <c r="G49" s="12">
        <v>94.9</v>
      </c>
      <c r="H49" s="12">
        <v>105.1</v>
      </c>
      <c r="I49" s="12">
        <v>91</v>
      </c>
      <c r="J49" s="12">
        <v>101.9</v>
      </c>
    </row>
    <row r="50" spans="1:10">
      <c r="B50" s="11" t="s">
        <v>48</v>
      </c>
      <c r="C50" s="26">
        <v>43</v>
      </c>
      <c r="D50" s="12">
        <v>115.3</v>
      </c>
      <c r="E50" s="12">
        <v>104.8</v>
      </c>
      <c r="F50" s="12">
        <v>133.1</v>
      </c>
      <c r="G50" s="12">
        <v>120.8</v>
      </c>
      <c r="H50" s="12">
        <v>106.9</v>
      </c>
      <c r="I50" s="12">
        <v>106</v>
      </c>
      <c r="J50" s="12">
        <v>107.5</v>
      </c>
    </row>
    <row r="51" spans="1:10">
      <c r="B51" s="11" t="s">
        <v>37</v>
      </c>
      <c r="C51" s="26">
        <v>32</v>
      </c>
      <c r="D51" s="12">
        <v>101.9</v>
      </c>
      <c r="E51" s="12">
        <v>100.6</v>
      </c>
      <c r="F51" s="12">
        <v>105.7</v>
      </c>
      <c r="G51" s="12">
        <v>104.3</v>
      </c>
      <c r="H51" s="12">
        <v>94.8</v>
      </c>
      <c r="I51" s="12">
        <v>102.2</v>
      </c>
      <c r="J51" s="12">
        <v>101</v>
      </c>
    </row>
    <row r="52" spans="1:10">
      <c r="B52" s="11" t="s">
        <v>49</v>
      </c>
      <c r="C52" s="26">
        <v>44</v>
      </c>
      <c r="D52" s="12">
        <v>116</v>
      </c>
      <c r="E52" s="12">
        <v>109.8</v>
      </c>
      <c r="F52" s="12">
        <v>128.69999999999999</v>
      </c>
      <c r="G52" s="12">
        <v>92.1</v>
      </c>
      <c r="H52" s="12">
        <v>123.3</v>
      </c>
      <c r="I52" s="12">
        <v>120.4</v>
      </c>
      <c r="J52" s="12">
        <v>111.3</v>
      </c>
    </row>
    <row r="53" spans="1:10">
      <c r="B53" s="11" t="s">
        <v>9</v>
      </c>
      <c r="C53" s="26">
        <v>4</v>
      </c>
      <c r="D53" s="12">
        <v>87.7</v>
      </c>
      <c r="E53" s="12">
        <v>98.4</v>
      </c>
      <c r="F53" s="12">
        <v>66.900000000000006</v>
      </c>
      <c r="G53" s="12">
        <v>95.7</v>
      </c>
      <c r="H53" s="12">
        <v>94</v>
      </c>
      <c r="I53" s="12">
        <v>96.6</v>
      </c>
      <c r="J53" s="12">
        <v>95</v>
      </c>
    </row>
    <row r="54" spans="1:10">
      <c r="B54" s="11" t="s">
        <v>29</v>
      </c>
      <c r="C54" s="26">
        <v>24</v>
      </c>
      <c r="D54" s="12">
        <v>95.1</v>
      </c>
      <c r="E54" s="12">
        <v>99.2</v>
      </c>
      <c r="F54" s="12">
        <v>84.7</v>
      </c>
      <c r="G54" s="12">
        <v>102.2</v>
      </c>
      <c r="H54" s="12">
        <v>97.9</v>
      </c>
      <c r="I54" s="12">
        <v>112.3</v>
      </c>
      <c r="J54" s="12">
        <v>96.9</v>
      </c>
    </row>
    <row r="55" spans="1:10">
      <c r="B55" s="11" t="s">
        <v>23</v>
      </c>
      <c r="C55" s="26">
        <v>18</v>
      </c>
      <c r="D55" s="12">
        <v>92.4</v>
      </c>
      <c r="E55" s="12">
        <v>102.3</v>
      </c>
      <c r="F55" s="12">
        <v>80</v>
      </c>
      <c r="G55" s="12">
        <v>87.6</v>
      </c>
      <c r="H55" s="12">
        <v>94.4</v>
      </c>
      <c r="I55" s="12">
        <v>100.1</v>
      </c>
      <c r="J55" s="12">
        <v>98</v>
      </c>
    </row>
    <row r="56" spans="1:10" ht="18">
      <c r="A56" s="4"/>
      <c r="B56" s="2"/>
      <c r="C56" s="3"/>
      <c r="D56" s="3"/>
      <c r="E56" s="3"/>
      <c r="F56" s="3"/>
      <c r="G56" s="3"/>
      <c r="H56" s="3"/>
      <c r="I56" s="3"/>
    </row>
  </sheetData>
  <sheetProtection sheet="1" objects="1" scenarios="1" sort="0"/>
  <mergeCells count="1">
    <mergeCell ref="A1:K1"/>
  </mergeCells>
  <pageMargins left="0.7" right="0.7" top="0.75" bottom="0.75" header="0.3" footer="0.3"/>
  <pageSetup orientation="portrait" horizontalDpi="0"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A147D-2A11-F846-AD80-EE39FAF1E7EE}">
  <sheetPr codeName="Sheet7">
    <tabColor theme="1" tint="0.34998626667073579"/>
  </sheetPr>
  <dimension ref="A1:J55"/>
  <sheetViews>
    <sheetView workbookViewId="0">
      <selection activeCell="I39" sqref="I39"/>
    </sheetView>
  </sheetViews>
  <sheetFormatPr baseColWidth="10" defaultColWidth="11" defaultRowHeight="16"/>
  <cols>
    <col min="1" max="1" width="6.83203125" bestFit="1" customWidth="1"/>
    <col min="2" max="2" width="17.83203125" bestFit="1" customWidth="1"/>
    <col min="3" max="5" width="20.6640625" bestFit="1" customWidth="1"/>
    <col min="6" max="8" width="14.5" bestFit="1" customWidth="1"/>
    <col min="9" max="9" width="29.5" bestFit="1" customWidth="1"/>
  </cols>
  <sheetData>
    <row r="1" spans="1:10" ht="33">
      <c r="A1" s="109" t="s">
        <v>112</v>
      </c>
      <c r="B1" s="109"/>
      <c r="C1" s="109"/>
      <c r="D1" s="109"/>
      <c r="E1" s="109"/>
      <c r="F1" s="109"/>
      <c r="G1" s="109"/>
      <c r="H1" s="109"/>
      <c r="I1" s="109"/>
      <c r="J1" s="109"/>
    </row>
    <row r="2" spans="1:10">
      <c r="B2" s="19"/>
      <c r="C2" s="19"/>
      <c r="D2" s="19"/>
      <c r="E2" s="19"/>
    </row>
    <row r="4" spans="1:10" ht="16" customHeight="1">
      <c r="B4" s="10" t="s">
        <v>58</v>
      </c>
      <c r="C4" s="18" t="s">
        <v>99</v>
      </c>
      <c r="D4" s="18" t="s">
        <v>98</v>
      </c>
      <c r="E4" s="18" t="s">
        <v>111</v>
      </c>
      <c r="F4" s="10" t="s">
        <v>60</v>
      </c>
      <c r="G4" s="10" t="s">
        <v>61</v>
      </c>
      <c r="H4" s="10" t="s">
        <v>62</v>
      </c>
    </row>
    <row r="5" spans="1:10">
      <c r="B5" t="s">
        <v>70</v>
      </c>
      <c r="C5" s="23">
        <v>71490</v>
      </c>
      <c r="D5" s="23">
        <v>85750</v>
      </c>
      <c r="E5" s="23">
        <v>86370</v>
      </c>
      <c r="F5" s="23">
        <v>146440</v>
      </c>
      <c r="G5" s="23">
        <v>146440</v>
      </c>
      <c r="H5" s="23">
        <v>204686</v>
      </c>
    </row>
    <row r="6" spans="1:10">
      <c r="B6" t="s">
        <v>54</v>
      </c>
      <c r="C6" s="23">
        <v>69748</v>
      </c>
      <c r="D6" s="23">
        <v>86345</v>
      </c>
      <c r="E6" s="23">
        <v>80467</v>
      </c>
      <c r="F6" s="23">
        <v>100535</v>
      </c>
      <c r="G6" s="23">
        <v>127172</v>
      </c>
      <c r="H6" s="23">
        <v>162422</v>
      </c>
    </row>
    <row r="7" spans="1:10">
      <c r="B7" t="s">
        <v>45</v>
      </c>
      <c r="C7" s="23">
        <v>73075</v>
      </c>
      <c r="D7" s="23">
        <v>74176</v>
      </c>
      <c r="E7" s="23">
        <v>83898</v>
      </c>
      <c r="F7" s="23">
        <v>99056</v>
      </c>
      <c r="G7" s="23">
        <v>122540</v>
      </c>
      <c r="H7" s="23">
        <v>155510</v>
      </c>
    </row>
    <row r="8" spans="1:10">
      <c r="B8" t="s">
        <v>50</v>
      </c>
      <c r="C8" s="23">
        <v>78711</v>
      </c>
      <c r="D8" s="23">
        <v>86223</v>
      </c>
      <c r="E8" s="23">
        <v>80002</v>
      </c>
      <c r="F8" s="23">
        <v>103083</v>
      </c>
      <c r="G8" s="23">
        <v>122385</v>
      </c>
      <c r="H8" s="23">
        <v>151613</v>
      </c>
    </row>
    <row r="9" spans="1:10">
      <c r="B9" t="s">
        <v>46</v>
      </c>
      <c r="C9" s="23">
        <v>74310</v>
      </c>
      <c r="D9" s="23">
        <v>81346</v>
      </c>
      <c r="E9" s="23">
        <v>83877</v>
      </c>
      <c r="F9" s="23">
        <v>98248</v>
      </c>
      <c r="G9" s="23">
        <v>136886</v>
      </c>
      <c r="H9" s="23">
        <v>151546</v>
      </c>
    </row>
    <row r="10" spans="1:10">
      <c r="B10" t="s">
        <v>44</v>
      </c>
      <c r="C10" s="23">
        <v>70396</v>
      </c>
      <c r="D10" s="23">
        <v>72812</v>
      </c>
      <c r="E10" s="23">
        <v>81909</v>
      </c>
      <c r="F10" s="23">
        <v>100639</v>
      </c>
      <c r="G10" s="23">
        <v>121958</v>
      </c>
      <c r="H10" s="23">
        <v>142596</v>
      </c>
    </row>
    <row r="11" spans="1:10">
      <c r="B11" t="s">
        <v>26</v>
      </c>
      <c r="C11" s="23">
        <v>67709</v>
      </c>
      <c r="D11" s="23">
        <v>71817</v>
      </c>
      <c r="E11" s="23">
        <v>71643</v>
      </c>
      <c r="F11" s="23">
        <v>90946</v>
      </c>
      <c r="G11" s="23">
        <v>114267</v>
      </c>
      <c r="H11" s="23">
        <v>141324</v>
      </c>
    </row>
    <row r="12" spans="1:10">
      <c r="B12" t="s">
        <v>49</v>
      </c>
      <c r="C12" s="23">
        <v>68139</v>
      </c>
      <c r="D12" s="23">
        <v>79726</v>
      </c>
      <c r="E12" s="23">
        <v>83121</v>
      </c>
      <c r="F12" s="23">
        <v>96890</v>
      </c>
      <c r="G12" s="23">
        <v>116345</v>
      </c>
      <c r="H12" s="23">
        <v>138487</v>
      </c>
    </row>
    <row r="13" spans="1:10">
      <c r="B13" t="s">
        <v>37</v>
      </c>
      <c r="C13" s="23">
        <v>70818</v>
      </c>
      <c r="D13" s="23">
        <v>77151</v>
      </c>
      <c r="E13" s="23">
        <v>75376</v>
      </c>
      <c r="F13" s="23">
        <v>93328</v>
      </c>
      <c r="G13" s="23">
        <v>111017</v>
      </c>
      <c r="H13" s="23">
        <v>134252</v>
      </c>
    </row>
    <row r="14" spans="1:10">
      <c r="B14" t="s">
        <v>40</v>
      </c>
      <c r="C14" s="23">
        <v>62735</v>
      </c>
      <c r="D14" s="23">
        <v>73034</v>
      </c>
      <c r="E14" s="23">
        <v>75710</v>
      </c>
      <c r="F14" s="23">
        <v>98365</v>
      </c>
      <c r="G14" s="23">
        <v>113822</v>
      </c>
      <c r="H14" s="23">
        <v>134146</v>
      </c>
    </row>
    <row r="15" spans="1:10">
      <c r="B15" t="s">
        <v>43</v>
      </c>
      <c r="C15" s="23">
        <v>61431</v>
      </c>
      <c r="D15" s="23">
        <v>62266</v>
      </c>
      <c r="E15" s="23">
        <v>70858</v>
      </c>
      <c r="F15" s="23">
        <v>90196</v>
      </c>
      <c r="G15" s="23">
        <v>109514</v>
      </c>
      <c r="H15" s="23">
        <v>130123</v>
      </c>
    </row>
    <row r="16" spans="1:10">
      <c r="B16" t="s">
        <v>48</v>
      </c>
      <c r="C16" s="23">
        <v>60901</v>
      </c>
      <c r="D16" s="23">
        <v>70066</v>
      </c>
      <c r="E16" s="23">
        <v>69936</v>
      </c>
      <c r="F16" s="23">
        <v>86394</v>
      </c>
      <c r="G16" s="23">
        <v>103763</v>
      </c>
      <c r="H16" s="23">
        <v>126550</v>
      </c>
    </row>
    <row r="17" spans="2:8">
      <c r="B17" t="s">
        <v>52</v>
      </c>
      <c r="C17" s="23">
        <v>52243</v>
      </c>
      <c r="D17" s="23">
        <v>67274</v>
      </c>
      <c r="E17" s="23">
        <v>68814</v>
      </c>
      <c r="F17" s="23">
        <v>84958</v>
      </c>
      <c r="G17" s="23">
        <v>103444</v>
      </c>
      <c r="H17" s="23">
        <v>126167</v>
      </c>
    </row>
    <row r="18" spans="2:8">
      <c r="B18" t="s">
        <v>56</v>
      </c>
      <c r="C18" s="23">
        <v>61648</v>
      </c>
      <c r="D18" s="23">
        <v>80108</v>
      </c>
      <c r="E18" s="23">
        <v>78788</v>
      </c>
      <c r="F18" s="23">
        <v>92578</v>
      </c>
      <c r="G18" s="23">
        <v>104704</v>
      </c>
      <c r="H18" s="23">
        <v>125621</v>
      </c>
    </row>
    <row r="19" spans="2:8">
      <c r="B19" t="s">
        <v>27</v>
      </c>
      <c r="C19" s="23">
        <v>61103</v>
      </c>
      <c r="D19" s="23">
        <v>66505</v>
      </c>
      <c r="E19" s="23">
        <v>70125</v>
      </c>
      <c r="F19" s="23">
        <v>90049</v>
      </c>
      <c r="G19" s="23">
        <v>93240</v>
      </c>
      <c r="H19" s="23">
        <v>124290</v>
      </c>
    </row>
    <row r="20" spans="2:8">
      <c r="B20" t="s">
        <v>36</v>
      </c>
      <c r="C20" s="23">
        <v>53659</v>
      </c>
      <c r="D20" s="23">
        <v>65012</v>
      </c>
      <c r="E20" s="23">
        <v>71279</v>
      </c>
      <c r="F20" s="23">
        <v>83174</v>
      </c>
      <c r="G20" s="23">
        <v>103598</v>
      </c>
      <c r="H20" s="23">
        <v>122908</v>
      </c>
    </row>
    <row r="21" spans="2:8">
      <c r="B21" t="s">
        <v>53</v>
      </c>
      <c r="C21" s="23">
        <v>62477</v>
      </c>
      <c r="D21" s="23">
        <v>70489</v>
      </c>
      <c r="E21" s="23">
        <v>75235</v>
      </c>
      <c r="F21" s="23">
        <v>93175</v>
      </c>
      <c r="G21" s="23">
        <v>104785</v>
      </c>
      <c r="H21" s="23">
        <v>122707</v>
      </c>
    </row>
    <row r="22" spans="2:8">
      <c r="B22" t="s">
        <v>21</v>
      </c>
      <c r="C22" s="23">
        <v>56690</v>
      </c>
      <c r="D22" s="23">
        <v>70145</v>
      </c>
      <c r="E22" s="23">
        <v>67102</v>
      </c>
      <c r="F22" s="23">
        <v>84892</v>
      </c>
      <c r="G22" s="23">
        <v>101951</v>
      </c>
      <c r="H22" s="23">
        <v>122289</v>
      </c>
    </row>
    <row r="23" spans="2:8">
      <c r="B23" t="s">
        <v>32</v>
      </c>
      <c r="C23" s="23">
        <v>56871</v>
      </c>
      <c r="D23" s="23">
        <v>64524</v>
      </c>
      <c r="E23" s="23">
        <v>66454</v>
      </c>
      <c r="F23" s="23">
        <v>80321</v>
      </c>
      <c r="G23" s="23">
        <v>100888</v>
      </c>
      <c r="H23" s="23">
        <v>122083</v>
      </c>
    </row>
    <row r="24" spans="2:8">
      <c r="B24" t="s">
        <v>51</v>
      </c>
      <c r="C24" s="23">
        <v>69739</v>
      </c>
      <c r="D24" s="23">
        <v>68734</v>
      </c>
      <c r="E24" s="23">
        <v>76191</v>
      </c>
      <c r="F24" s="23">
        <v>89932</v>
      </c>
      <c r="G24" s="23">
        <v>113035</v>
      </c>
      <c r="H24" s="23">
        <v>121062</v>
      </c>
    </row>
    <row r="25" spans="2:8">
      <c r="B25" t="s">
        <v>42</v>
      </c>
      <c r="C25" s="23">
        <v>53863</v>
      </c>
      <c r="D25" s="23">
        <v>58663</v>
      </c>
      <c r="E25" s="23">
        <v>61440</v>
      </c>
      <c r="F25" s="23">
        <v>79014</v>
      </c>
      <c r="G25" s="23">
        <v>95531</v>
      </c>
      <c r="H25" s="23">
        <v>119122</v>
      </c>
    </row>
    <row r="26" spans="2:8">
      <c r="B26" t="s">
        <v>47</v>
      </c>
      <c r="C26" s="23">
        <v>56730</v>
      </c>
      <c r="D26" s="23">
        <v>69165</v>
      </c>
      <c r="E26" s="23">
        <v>69653</v>
      </c>
      <c r="F26" s="23">
        <v>84418</v>
      </c>
      <c r="G26" s="23">
        <v>101989</v>
      </c>
      <c r="H26" s="23">
        <v>118493</v>
      </c>
    </row>
    <row r="27" spans="2:8">
      <c r="B27" t="s">
        <v>29</v>
      </c>
      <c r="C27" s="23">
        <v>58159</v>
      </c>
      <c r="D27" s="23">
        <v>62629</v>
      </c>
      <c r="E27" s="23">
        <v>63146</v>
      </c>
      <c r="F27" s="23">
        <v>81854</v>
      </c>
      <c r="G27" s="23">
        <v>99261</v>
      </c>
      <c r="H27" s="23">
        <v>118441</v>
      </c>
    </row>
    <row r="28" spans="2:8">
      <c r="B28" t="s">
        <v>14</v>
      </c>
      <c r="C28" s="23">
        <v>58557</v>
      </c>
      <c r="D28" s="23">
        <v>68718</v>
      </c>
      <c r="E28" s="23">
        <v>60971</v>
      </c>
      <c r="F28" s="23">
        <v>81351</v>
      </c>
      <c r="G28" s="23">
        <v>95739</v>
      </c>
      <c r="H28" s="23">
        <v>115320</v>
      </c>
    </row>
    <row r="29" spans="2:8">
      <c r="B29" t="s">
        <v>17</v>
      </c>
      <c r="C29" s="23">
        <v>57191</v>
      </c>
      <c r="D29" s="23">
        <v>67575</v>
      </c>
      <c r="E29" s="23">
        <v>65223</v>
      </c>
      <c r="F29" s="23">
        <v>83790</v>
      </c>
      <c r="G29" s="23">
        <v>99845</v>
      </c>
      <c r="H29" s="23">
        <v>115269</v>
      </c>
    </row>
    <row r="30" spans="2:8">
      <c r="B30" t="s">
        <v>8</v>
      </c>
      <c r="C30" s="23">
        <v>54788</v>
      </c>
      <c r="D30" s="23">
        <v>63938</v>
      </c>
      <c r="E30" s="23">
        <v>61158</v>
      </c>
      <c r="F30" s="23">
        <v>79752</v>
      </c>
      <c r="G30" s="23">
        <v>88271</v>
      </c>
      <c r="H30" s="23">
        <v>113151</v>
      </c>
    </row>
    <row r="31" spans="2:8">
      <c r="B31" t="s">
        <v>15</v>
      </c>
      <c r="C31" s="23">
        <v>54802</v>
      </c>
      <c r="D31" s="23">
        <v>60449</v>
      </c>
      <c r="E31" s="23">
        <v>63380</v>
      </c>
      <c r="F31" s="23">
        <v>75374</v>
      </c>
      <c r="G31" s="23">
        <v>93873</v>
      </c>
      <c r="H31" s="23">
        <v>111606</v>
      </c>
    </row>
    <row r="32" spans="2:8">
      <c r="B32" t="s">
        <v>39</v>
      </c>
      <c r="C32" s="23">
        <v>63924</v>
      </c>
      <c r="D32" s="23">
        <v>77067</v>
      </c>
      <c r="E32" s="23">
        <v>72772</v>
      </c>
      <c r="F32" s="23">
        <v>81900</v>
      </c>
      <c r="G32" s="23">
        <v>102941</v>
      </c>
      <c r="H32" s="23">
        <v>111065</v>
      </c>
    </row>
    <row r="33" spans="2:8">
      <c r="B33" t="s">
        <v>28</v>
      </c>
      <c r="C33" s="23">
        <v>48622</v>
      </c>
      <c r="D33" s="23">
        <v>61633</v>
      </c>
      <c r="E33" s="23">
        <v>61955</v>
      </c>
      <c r="F33" s="23">
        <v>76131</v>
      </c>
      <c r="G33" s="23">
        <v>90912</v>
      </c>
      <c r="H33" s="23">
        <v>110062</v>
      </c>
    </row>
    <row r="34" spans="2:8">
      <c r="B34" t="s">
        <v>38</v>
      </c>
      <c r="C34" s="23">
        <v>49403</v>
      </c>
      <c r="D34" s="23">
        <v>57679</v>
      </c>
      <c r="E34" s="23">
        <v>64836</v>
      </c>
      <c r="F34" s="23">
        <v>77872</v>
      </c>
      <c r="G34" s="23">
        <v>84019</v>
      </c>
      <c r="H34" s="23">
        <v>109438</v>
      </c>
    </row>
    <row r="35" spans="2:8">
      <c r="B35" t="s">
        <v>11</v>
      </c>
      <c r="C35" s="23">
        <v>54527</v>
      </c>
      <c r="D35" s="23">
        <v>61726</v>
      </c>
      <c r="E35" s="23">
        <v>61165</v>
      </c>
      <c r="F35" s="23">
        <v>75277</v>
      </c>
      <c r="G35" s="23">
        <v>89515</v>
      </c>
      <c r="H35" s="23">
        <v>109302</v>
      </c>
    </row>
    <row r="36" spans="2:8">
      <c r="B36" t="s">
        <v>31</v>
      </c>
      <c r="C36" s="23">
        <v>45530</v>
      </c>
      <c r="D36" s="23">
        <v>53369</v>
      </c>
      <c r="E36" s="23">
        <v>60072</v>
      </c>
      <c r="F36" s="23">
        <v>74849</v>
      </c>
      <c r="G36" s="23">
        <v>87369</v>
      </c>
      <c r="H36" s="23">
        <v>107128</v>
      </c>
    </row>
    <row r="37" spans="2:8">
      <c r="B37" t="s">
        <v>23</v>
      </c>
      <c r="C37" s="23">
        <v>63016</v>
      </c>
      <c r="D37" s="23">
        <v>62539</v>
      </c>
      <c r="E37" s="23">
        <v>65457</v>
      </c>
      <c r="F37" s="23">
        <v>82531</v>
      </c>
      <c r="G37" s="23">
        <v>93651</v>
      </c>
      <c r="H37" s="23">
        <v>104487</v>
      </c>
    </row>
    <row r="38" spans="2:8">
      <c r="B38" t="s">
        <v>22</v>
      </c>
      <c r="C38" s="23">
        <v>54144</v>
      </c>
      <c r="D38" s="23">
        <v>59463</v>
      </c>
      <c r="E38" s="23">
        <v>57253</v>
      </c>
      <c r="F38" s="23">
        <v>82039</v>
      </c>
      <c r="G38" s="23">
        <v>92794</v>
      </c>
      <c r="H38" s="23">
        <v>104379</v>
      </c>
    </row>
    <row r="39" spans="2:8">
      <c r="B39" t="s">
        <v>41</v>
      </c>
      <c r="C39" s="23">
        <v>51546</v>
      </c>
      <c r="D39" s="23">
        <v>62283</v>
      </c>
      <c r="E39" s="23">
        <v>64172</v>
      </c>
      <c r="F39" s="23">
        <v>80249</v>
      </c>
      <c r="G39" s="23">
        <v>90193</v>
      </c>
      <c r="H39" s="23">
        <v>104143</v>
      </c>
    </row>
    <row r="40" spans="2:8">
      <c r="B40" t="s">
        <v>16</v>
      </c>
      <c r="C40" s="23">
        <v>52726</v>
      </c>
      <c r="D40" s="23">
        <v>55821</v>
      </c>
      <c r="E40" s="23">
        <v>60490</v>
      </c>
      <c r="F40" s="23">
        <v>77183</v>
      </c>
      <c r="G40" s="23">
        <v>87742</v>
      </c>
      <c r="H40" s="23">
        <v>103638</v>
      </c>
    </row>
    <row r="41" spans="2:8">
      <c r="B41" t="s">
        <v>19</v>
      </c>
      <c r="C41" s="23">
        <v>50575</v>
      </c>
      <c r="D41" s="23">
        <v>59892</v>
      </c>
      <c r="E41" s="23">
        <v>60725</v>
      </c>
      <c r="F41" s="23">
        <v>75774</v>
      </c>
      <c r="G41" s="23">
        <v>89800</v>
      </c>
      <c r="H41" s="23">
        <v>102605</v>
      </c>
    </row>
    <row r="42" spans="2:8">
      <c r="B42" t="s">
        <v>24</v>
      </c>
      <c r="C42" s="23">
        <v>56896</v>
      </c>
      <c r="D42" s="23">
        <v>59785</v>
      </c>
      <c r="E42" s="23">
        <v>60040</v>
      </c>
      <c r="F42" s="23">
        <v>77611</v>
      </c>
      <c r="G42" s="23">
        <v>87228</v>
      </c>
      <c r="H42" s="23">
        <v>101753</v>
      </c>
    </row>
    <row r="43" spans="2:8">
      <c r="B43" t="s">
        <v>30</v>
      </c>
      <c r="C43" s="23">
        <v>48650</v>
      </c>
      <c r="D43" s="23">
        <v>57444</v>
      </c>
      <c r="E43" s="23">
        <v>59511</v>
      </c>
      <c r="F43" s="23">
        <v>72416</v>
      </c>
      <c r="G43" s="23">
        <v>82114</v>
      </c>
      <c r="H43" s="23">
        <v>100609</v>
      </c>
    </row>
    <row r="44" spans="2:8">
      <c r="B44" t="s">
        <v>34</v>
      </c>
      <c r="C44" s="23">
        <v>50480</v>
      </c>
      <c r="D44" s="23">
        <v>54644</v>
      </c>
      <c r="E44" s="23">
        <v>60429</v>
      </c>
      <c r="F44" s="23">
        <v>74131</v>
      </c>
      <c r="G44" s="23">
        <v>83396</v>
      </c>
      <c r="H44" s="23">
        <v>100476</v>
      </c>
    </row>
    <row r="45" spans="2:8">
      <c r="B45" t="s">
        <v>33</v>
      </c>
      <c r="C45" s="23">
        <v>52508</v>
      </c>
      <c r="D45" s="23">
        <v>58728</v>
      </c>
      <c r="E45" s="23">
        <v>62738</v>
      </c>
      <c r="F45" s="23">
        <v>77719</v>
      </c>
      <c r="G45" s="23">
        <v>87960</v>
      </c>
      <c r="H45" s="23">
        <v>97212</v>
      </c>
    </row>
    <row r="46" spans="2:8">
      <c r="B46" t="s">
        <v>35</v>
      </c>
      <c r="C46" s="23">
        <v>51863</v>
      </c>
      <c r="D46" s="23">
        <v>61864</v>
      </c>
      <c r="E46" s="23">
        <v>63473</v>
      </c>
      <c r="F46" s="23">
        <v>75983</v>
      </c>
      <c r="G46" s="23">
        <v>86618</v>
      </c>
      <c r="H46" s="23">
        <v>95950</v>
      </c>
    </row>
    <row r="47" spans="2:8">
      <c r="B47" t="s">
        <v>13</v>
      </c>
      <c r="C47" s="23">
        <v>47110</v>
      </c>
      <c r="D47" s="23">
        <v>56060</v>
      </c>
      <c r="E47" s="23">
        <v>57246</v>
      </c>
      <c r="F47" s="23">
        <v>71828</v>
      </c>
      <c r="G47" s="23">
        <v>85014</v>
      </c>
      <c r="H47" s="23">
        <v>95796</v>
      </c>
    </row>
    <row r="48" spans="2:8">
      <c r="B48" t="s">
        <v>20</v>
      </c>
      <c r="C48" s="23">
        <v>45018</v>
      </c>
      <c r="D48" s="23">
        <v>54555</v>
      </c>
      <c r="E48" s="23">
        <v>55971</v>
      </c>
      <c r="F48" s="23">
        <v>66902</v>
      </c>
      <c r="G48" s="23">
        <v>75700</v>
      </c>
      <c r="H48" s="23">
        <v>94937</v>
      </c>
    </row>
    <row r="49" spans="2:8">
      <c r="B49" t="s">
        <v>10</v>
      </c>
      <c r="C49" s="23">
        <v>47624</v>
      </c>
      <c r="D49" s="23">
        <v>49936</v>
      </c>
      <c r="E49" s="23">
        <v>56598</v>
      </c>
      <c r="F49" s="23">
        <v>67953</v>
      </c>
      <c r="G49" s="23">
        <v>77419</v>
      </c>
      <c r="H49" s="23">
        <v>94659</v>
      </c>
    </row>
    <row r="50" spans="2:8">
      <c r="B50" t="s">
        <v>18</v>
      </c>
      <c r="C50" s="23">
        <v>42826</v>
      </c>
      <c r="D50" s="23">
        <v>49973</v>
      </c>
      <c r="E50" s="23">
        <v>53028</v>
      </c>
      <c r="F50" s="23">
        <v>64762</v>
      </c>
      <c r="G50" s="23">
        <v>73393</v>
      </c>
      <c r="H50" s="23">
        <v>91366</v>
      </c>
    </row>
    <row r="51" spans="2:8">
      <c r="B51" t="s">
        <v>9</v>
      </c>
      <c r="C51" s="23">
        <v>47721</v>
      </c>
      <c r="D51" s="23">
        <v>50573</v>
      </c>
      <c r="E51" s="23">
        <v>56420</v>
      </c>
      <c r="F51" s="23">
        <v>62974</v>
      </c>
      <c r="G51" s="23">
        <v>81964</v>
      </c>
      <c r="H51" s="23">
        <v>90258</v>
      </c>
    </row>
    <row r="52" spans="2:8">
      <c r="B52" t="s">
        <v>6</v>
      </c>
      <c r="C52" s="23">
        <v>53040</v>
      </c>
      <c r="D52" s="23">
        <v>54434</v>
      </c>
      <c r="E52" s="23">
        <v>55358</v>
      </c>
      <c r="F52" s="23">
        <v>69182</v>
      </c>
      <c r="G52" s="23">
        <v>77166</v>
      </c>
      <c r="H52" s="23">
        <v>90043</v>
      </c>
    </row>
    <row r="53" spans="2:8">
      <c r="B53" t="s">
        <v>7</v>
      </c>
      <c r="C53" s="23">
        <v>40148</v>
      </c>
      <c r="D53" s="23">
        <v>42781</v>
      </c>
      <c r="E53" s="23">
        <v>48603</v>
      </c>
      <c r="F53" s="23">
        <v>60981</v>
      </c>
      <c r="G53" s="23">
        <v>70950</v>
      </c>
      <c r="H53" s="23">
        <v>86573</v>
      </c>
    </row>
    <row r="54" spans="2:8">
      <c r="B54" t="s">
        <v>12</v>
      </c>
      <c r="C54" s="23">
        <v>42752</v>
      </c>
      <c r="D54" s="23">
        <v>49781</v>
      </c>
      <c r="E54" s="23">
        <v>51164</v>
      </c>
      <c r="F54" s="23">
        <v>63835</v>
      </c>
      <c r="G54" s="23">
        <v>74475</v>
      </c>
      <c r="H54" s="23">
        <v>86039</v>
      </c>
    </row>
    <row r="55" spans="2:8">
      <c r="B55" t="s">
        <v>25</v>
      </c>
      <c r="C55" s="23">
        <v>47580</v>
      </c>
      <c r="D55" s="23">
        <v>48283</v>
      </c>
      <c r="E55" s="23">
        <v>54193</v>
      </c>
      <c r="F55" s="23">
        <v>69208</v>
      </c>
      <c r="G55" s="23">
        <v>71283</v>
      </c>
      <c r="H55" s="23">
        <v>82110</v>
      </c>
    </row>
  </sheetData>
  <sheetProtection sheet="1" sort="0"/>
  <mergeCells count="1">
    <mergeCell ref="A1:J1"/>
  </mergeCells>
  <phoneticPr fontId="26" type="noConversion"/>
  <conditionalFormatting sqref="E5:E55">
    <cfRule type="cellIs" dxfId="11" priority="2" operator="lessThan">
      <formula>10000</formula>
    </cfRule>
  </conditionalFormatting>
  <conditionalFormatting sqref="F5:H55">
    <cfRule type="cellIs" dxfId="10" priority="1" operator="lessThan">
      <formula>10000</formula>
    </cfRule>
  </conditionalFormatting>
  <pageMargins left="0.7" right="0.7" top="0.75" bottom="0.75" header="0.3" footer="0.3"/>
  <pageSetup orientation="portrait" horizontalDpi="0" verticalDpi="0"/>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F07AD-3CDA-C04B-A448-45A95C2C15C0}">
  <sheetPr codeName="Sheet8">
    <tabColor theme="1" tint="0.34998626667073579"/>
  </sheetPr>
  <dimension ref="A1:L55"/>
  <sheetViews>
    <sheetView workbookViewId="0">
      <selection activeCell="I39" sqref="I39"/>
    </sheetView>
  </sheetViews>
  <sheetFormatPr baseColWidth="10" defaultColWidth="11" defaultRowHeight="16"/>
  <cols>
    <col min="1" max="1" width="6.83203125" bestFit="1" customWidth="1"/>
    <col min="2" max="5" width="17.5" bestFit="1" customWidth="1"/>
    <col min="6" max="6" width="14.6640625" bestFit="1" customWidth="1"/>
    <col min="7" max="7" width="17.5" bestFit="1" customWidth="1"/>
    <col min="8" max="8" width="14.6640625" bestFit="1" customWidth="1"/>
    <col min="9" max="9" width="17.5" bestFit="1" customWidth="1"/>
    <col min="10" max="10" width="14.6640625" bestFit="1" customWidth="1"/>
  </cols>
  <sheetData>
    <row r="1" spans="1:12" ht="32">
      <c r="A1" s="110" t="s">
        <v>106</v>
      </c>
      <c r="B1" s="110"/>
      <c r="C1" s="110"/>
      <c r="D1" s="110"/>
      <c r="E1" s="110"/>
      <c r="F1" s="110"/>
      <c r="G1" s="110"/>
      <c r="H1" s="110"/>
      <c r="I1" s="110"/>
      <c r="J1" s="110"/>
      <c r="K1" s="110"/>
    </row>
    <row r="2" spans="1:12">
      <c r="B2" s="17"/>
      <c r="C2" s="17"/>
      <c r="D2" s="17"/>
      <c r="E2" s="17"/>
      <c r="F2" s="17"/>
      <c r="G2" s="17"/>
      <c r="H2" s="17"/>
      <c r="I2" s="17"/>
      <c r="J2" s="17"/>
      <c r="K2" s="17"/>
      <c r="L2" s="17"/>
    </row>
    <row r="3" spans="1:12">
      <c r="B3" s="14"/>
      <c r="C3" s="14"/>
      <c r="D3" s="14"/>
      <c r="E3" s="14"/>
      <c r="F3" s="14"/>
      <c r="G3" s="14"/>
      <c r="H3" s="14"/>
      <c r="I3" s="14"/>
    </row>
    <row r="4" spans="1:12" ht="22" customHeight="1">
      <c r="B4" s="16" t="s">
        <v>0</v>
      </c>
      <c r="C4" s="16" t="s">
        <v>107</v>
      </c>
      <c r="D4" s="16" t="s">
        <v>108</v>
      </c>
      <c r="E4" s="16" t="s">
        <v>109</v>
      </c>
      <c r="F4" s="16" t="s">
        <v>110</v>
      </c>
      <c r="G4" s="16" t="s">
        <v>72</v>
      </c>
      <c r="H4" s="16" t="s">
        <v>74</v>
      </c>
      <c r="I4" s="16" t="s">
        <v>76</v>
      </c>
      <c r="J4" s="16" t="s">
        <v>78</v>
      </c>
    </row>
    <row r="5" spans="1:12">
      <c r="B5" t="s">
        <v>10</v>
      </c>
      <c r="C5" s="20">
        <v>2.5</v>
      </c>
      <c r="D5">
        <v>2.5</v>
      </c>
      <c r="E5">
        <v>3.4</v>
      </c>
      <c r="F5">
        <v>6.4</v>
      </c>
      <c r="G5">
        <v>7</v>
      </c>
      <c r="H5">
        <v>7</v>
      </c>
      <c r="I5">
        <v>6</v>
      </c>
      <c r="J5">
        <v>17</v>
      </c>
    </row>
    <row r="6" spans="1:12">
      <c r="B6" t="s">
        <v>51</v>
      </c>
      <c r="C6" s="20">
        <v>4.2</v>
      </c>
      <c r="D6">
        <v>4.2</v>
      </c>
      <c r="E6">
        <v>6.4</v>
      </c>
      <c r="F6">
        <v>8.3000000000000007</v>
      </c>
      <c r="G6">
        <v>44</v>
      </c>
      <c r="H6">
        <v>45</v>
      </c>
      <c r="I6">
        <v>44</v>
      </c>
      <c r="J6">
        <v>39</v>
      </c>
    </row>
    <row r="7" spans="1:12">
      <c r="B7" t="s">
        <v>41</v>
      </c>
      <c r="C7" s="20">
        <v>3.9</v>
      </c>
      <c r="D7">
        <v>3.8</v>
      </c>
      <c r="E7">
        <v>5.0999999999999996</v>
      </c>
      <c r="F7">
        <v>7.8</v>
      </c>
      <c r="G7">
        <v>38</v>
      </c>
      <c r="H7">
        <v>32</v>
      </c>
      <c r="I7">
        <v>27</v>
      </c>
      <c r="J7">
        <v>31</v>
      </c>
    </row>
    <row r="8" spans="1:12">
      <c r="B8" t="s">
        <v>12</v>
      </c>
      <c r="C8" s="20">
        <v>3.3</v>
      </c>
      <c r="D8">
        <v>3.2</v>
      </c>
      <c r="E8">
        <v>4</v>
      </c>
      <c r="F8">
        <v>6.2</v>
      </c>
      <c r="G8">
        <v>27</v>
      </c>
      <c r="H8">
        <v>23</v>
      </c>
      <c r="I8">
        <v>18</v>
      </c>
      <c r="J8">
        <v>13</v>
      </c>
    </row>
    <row r="9" spans="1:12">
      <c r="B9" t="s">
        <v>53</v>
      </c>
      <c r="C9" s="20">
        <v>4.8</v>
      </c>
      <c r="D9">
        <v>4.3</v>
      </c>
      <c r="E9">
        <v>7.3</v>
      </c>
      <c r="F9">
        <v>10.1</v>
      </c>
      <c r="G9">
        <v>49</v>
      </c>
      <c r="H9">
        <v>46</v>
      </c>
      <c r="I9">
        <v>51</v>
      </c>
      <c r="J9">
        <v>49</v>
      </c>
    </row>
    <row r="10" spans="1:12">
      <c r="B10" t="s">
        <v>40</v>
      </c>
      <c r="C10" s="20">
        <v>3.2</v>
      </c>
      <c r="D10">
        <v>3.1</v>
      </c>
      <c r="E10">
        <v>5.5</v>
      </c>
      <c r="F10">
        <v>6.8</v>
      </c>
      <c r="G10">
        <v>23</v>
      </c>
      <c r="H10">
        <v>19</v>
      </c>
      <c r="I10">
        <v>35</v>
      </c>
      <c r="J10">
        <v>24</v>
      </c>
    </row>
    <row r="11" spans="1:12">
      <c r="B11" t="s">
        <v>44</v>
      </c>
      <c r="C11" s="20">
        <v>3.8</v>
      </c>
      <c r="D11">
        <v>4.0999999999999996</v>
      </c>
      <c r="E11">
        <v>6.4</v>
      </c>
      <c r="F11">
        <v>8</v>
      </c>
      <c r="G11">
        <v>36</v>
      </c>
      <c r="H11">
        <v>40</v>
      </c>
      <c r="I11">
        <v>44</v>
      </c>
      <c r="J11">
        <v>34</v>
      </c>
    </row>
    <row r="12" spans="1:12">
      <c r="B12" t="s">
        <v>36</v>
      </c>
      <c r="C12" s="20">
        <v>4</v>
      </c>
      <c r="D12">
        <v>4.3</v>
      </c>
      <c r="E12">
        <v>5.5</v>
      </c>
      <c r="F12">
        <v>7.5</v>
      </c>
      <c r="G12">
        <v>42</v>
      </c>
      <c r="H12">
        <v>46</v>
      </c>
      <c r="I12">
        <v>35</v>
      </c>
      <c r="J12">
        <v>28</v>
      </c>
    </row>
    <row r="13" spans="1:12">
      <c r="B13" t="s">
        <v>55</v>
      </c>
      <c r="C13" s="20">
        <v>4.9000000000000004</v>
      </c>
      <c r="D13">
        <v>4.7</v>
      </c>
      <c r="E13">
        <v>6.8</v>
      </c>
      <c r="F13">
        <v>7.9</v>
      </c>
      <c r="G13">
        <v>50</v>
      </c>
      <c r="H13">
        <v>50</v>
      </c>
      <c r="I13">
        <v>47</v>
      </c>
      <c r="J13">
        <v>32</v>
      </c>
    </row>
    <row r="14" spans="1:12">
      <c r="B14" t="s">
        <v>34</v>
      </c>
      <c r="C14" s="20">
        <v>2.9</v>
      </c>
      <c r="D14">
        <v>3</v>
      </c>
      <c r="E14">
        <v>4.7</v>
      </c>
      <c r="F14">
        <v>8.1</v>
      </c>
      <c r="G14">
        <v>11</v>
      </c>
      <c r="H14">
        <v>17</v>
      </c>
      <c r="I14">
        <v>24</v>
      </c>
      <c r="J14">
        <v>36</v>
      </c>
    </row>
    <row r="15" spans="1:12">
      <c r="B15" t="s">
        <v>16</v>
      </c>
      <c r="C15" s="20">
        <v>3.2</v>
      </c>
      <c r="D15">
        <v>3.1</v>
      </c>
      <c r="E15">
        <v>3.9</v>
      </c>
      <c r="F15">
        <v>6.5</v>
      </c>
      <c r="G15">
        <v>23</v>
      </c>
      <c r="H15">
        <v>19</v>
      </c>
      <c r="I15">
        <v>13</v>
      </c>
      <c r="J15">
        <v>21</v>
      </c>
    </row>
    <row r="16" spans="1:12">
      <c r="B16" t="s">
        <v>56</v>
      </c>
      <c r="C16" s="20">
        <v>3</v>
      </c>
      <c r="D16">
        <v>3.3</v>
      </c>
      <c r="E16">
        <v>6</v>
      </c>
      <c r="F16">
        <v>11.7</v>
      </c>
      <c r="G16">
        <v>17</v>
      </c>
      <c r="H16">
        <v>26</v>
      </c>
      <c r="I16">
        <v>42</v>
      </c>
      <c r="J16">
        <v>50</v>
      </c>
    </row>
    <row r="17" spans="2:10">
      <c r="B17" t="s">
        <v>33</v>
      </c>
      <c r="C17" s="20">
        <v>3.1</v>
      </c>
      <c r="D17">
        <v>2.8</v>
      </c>
      <c r="E17">
        <v>3.6</v>
      </c>
      <c r="F17">
        <v>5.5</v>
      </c>
      <c r="G17">
        <v>22</v>
      </c>
      <c r="H17">
        <v>12</v>
      </c>
      <c r="I17">
        <v>9</v>
      </c>
      <c r="J17">
        <v>7</v>
      </c>
    </row>
    <row r="18" spans="2:10">
      <c r="B18" t="s">
        <v>21</v>
      </c>
      <c r="C18" s="20">
        <v>4.5</v>
      </c>
      <c r="D18">
        <v>4.5999999999999996</v>
      </c>
      <c r="E18">
        <v>6.1</v>
      </c>
      <c r="F18">
        <v>9.3000000000000007</v>
      </c>
      <c r="G18">
        <v>48</v>
      </c>
      <c r="H18">
        <v>49</v>
      </c>
      <c r="I18">
        <v>43</v>
      </c>
      <c r="J18">
        <v>44</v>
      </c>
    </row>
    <row r="19" spans="2:10">
      <c r="B19" t="s">
        <v>19</v>
      </c>
      <c r="C19" s="20">
        <v>3.3</v>
      </c>
      <c r="D19">
        <v>3.1</v>
      </c>
      <c r="E19">
        <v>3.9</v>
      </c>
      <c r="F19">
        <v>7.3</v>
      </c>
      <c r="G19">
        <v>27</v>
      </c>
      <c r="H19">
        <v>19</v>
      </c>
      <c r="I19">
        <v>13</v>
      </c>
      <c r="J19">
        <v>26</v>
      </c>
    </row>
    <row r="20" spans="2:10">
      <c r="B20" t="s">
        <v>14</v>
      </c>
      <c r="C20" s="20">
        <v>2.9</v>
      </c>
      <c r="D20">
        <v>2.8</v>
      </c>
      <c r="E20">
        <v>3.8</v>
      </c>
      <c r="F20">
        <v>5.2</v>
      </c>
      <c r="G20">
        <v>11</v>
      </c>
      <c r="H20">
        <v>12</v>
      </c>
      <c r="I20">
        <v>12</v>
      </c>
      <c r="J20">
        <v>6</v>
      </c>
    </row>
    <row r="21" spans="2:10">
      <c r="B21" t="s">
        <v>8</v>
      </c>
      <c r="C21" s="20">
        <v>2.7</v>
      </c>
      <c r="D21">
        <v>2.6</v>
      </c>
      <c r="E21">
        <v>3.3</v>
      </c>
      <c r="F21">
        <v>5.8</v>
      </c>
      <c r="G21">
        <v>9</v>
      </c>
      <c r="H21">
        <v>8</v>
      </c>
      <c r="I21">
        <v>5</v>
      </c>
      <c r="J21">
        <v>9</v>
      </c>
    </row>
    <row r="22" spans="2:10">
      <c r="B22" t="s">
        <v>20</v>
      </c>
      <c r="C22" s="20">
        <v>4.2</v>
      </c>
      <c r="D22">
        <v>4</v>
      </c>
      <c r="E22">
        <v>4.5</v>
      </c>
      <c r="F22">
        <v>6.5</v>
      </c>
      <c r="G22">
        <v>44</v>
      </c>
      <c r="H22">
        <v>38</v>
      </c>
      <c r="I22">
        <v>21</v>
      </c>
      <c r="J22">
        <v>21</v>
      </c>
    </row>
    <row r="23" spans="2:10">
      <c r="B23" t="s">
        <v>18</v>
      </c>
      <c r="C23" s="20">
        <v>3.7</v>
      </c>
      <c r="D23">
        <v>3.7</v>
      </c>
      <c r="E23">
        <v>5.6</v>
      </c>
      <c r="F23">
        <v>8.6</v>
      </c>
      <c r="G23">
        <v>34</v>
      </c>
      <c r="H23">
        <v>29</v>
      </c>
      <c r="I23">
        <v>38</v>
      </c>
      <c r="J23">
        <v>41</v>
      </c>
    </row>
    <row r="24" spans="2:10">
      <c r="B24" t="s">
        <v>42</v>
      </c>
      <c r="C24" s="20">
        <v>2.9</v>
      </c>
      <c r="D24">
        <v>2.8</v>
      </c>
      <c r="E24">
        <v>4.7</v>
      </c>
      <c r="F24">
        <v>5.0999999999999996</v>
      </c>
      <c r="G24">
        <v>11</v>
      </c>
      <c r="H24">
        <v>12</v>
      </c>
      <c r="I24">
        <v>24</v>
      </c>
      <c r="J24">
        <v>5</v>
      </c>
    </row>
    <row r="25" spans="2:10">
      <c r="B25" t="s">
        <v>50</v>
      </c>
      <c r="C25" s="20">
        <v>2.1</v>
      </c>
      <c r="D25">
        <v>3</v>
      </c>
      <c r="E25">
        <v>5.2</v>
      </c>
      <c r="F25">
        <v>6.4</v>
      </c>
      <c r="G25">
        <v>4</v>
      </c>
      <c r="H25">
        <v>17</v>
      </c>
      <c r="I25">
        <v>30</v>
      </c>
      <c r="J25">
        <v>17</v>
      </c>
    </row>
    <row r="26" spans="2:10">
      <c r="B26" t="s">
        <v>54</v>
      </c>
      <c r="C26" s="20">
        <v>3.4</v>
      </c>
      <c r="D26">
        <v>3.7</v>
      </c>
      <c r="E26">
        <v>5.4</v>
      </c>
      <c r="F26">
        <v>9.3000000000000007</v>
      </c>
      <c r="G26">
        <v>30</v>
      </c>
      <c r="H26">
        <v>29</v>
      </c>
      <c r="I26">
        <v>33</v>
      </c>
      <c r="J26">
        <v>44</v>
      </c>
    </row>
    <row r="27" spans="2:10">
      <c r="B27" t="s">
        <v>15</v>
      </c>
      <c r="C27" s="20">
        <v>3.9</v>
      </c>
      <c r="D27">
        <v>4.0999999999999996</v>
      </c>
      <c r="E27">
        <v>5.7</v>
      </c>
      <c r="F27">
        <v>10</v>
      </c>
      <c r="G27">
        <v>38</v>
      </c>
      <c r="H27">
        <v>40</v>
      </c>
      <c r="I27">
        <v>40</v>
      </c>
      <c r="J27">
        <v>48</v>
      </c>
    </row>
    <row r="28" spans="2:10">
      <c r="B28" t="s">
        <v>26</v>
      </c>
      <c r="C28" s="20">
        <v>2.8</v>
      </c>
      <c r="D28">
        <v>2.6</v>
      </c>
      <c r="E28">
        <v>3.7</v>
      </c>
      <c r="F28">
        <v>6.3</v>
      </c>
      <c r="G28">
        <v>10</v>
      </c>
      <c r="H28">
        <v>8</v>
      </c>
      <c r="I28">
        <v>11</v>
      </c>
      <c r="J28">
        <v>15</v>
      </c>
    </row>
    <row r="29" spans="2:10">
      <c r="B29" t="s">
        <v>7</v>
      </c>
      <c r="C29" s="20">
        <v>3.2</v>
      </c>
      <c r="D29">
        <v>3.8</v>
      </c>
      <c r="E29">
        <v>5.4</v>
      </c>
      <c r="F29">
        <v>8</v>
      </c>
      <c r="G29">
        <v>23</v>
      </c>
      <c r="H29">
        <v>32</v>
      </c>
      <c r="I29">
        <v>33</v>
      </c>
      <c r="J29">
        <v>34</v>
      </c>
    </row>
    <row r="30" spans="2:10">
      <c r="B30" t="s">
        <v>11</v>
      </c>
      <c r="C30" s="20">
        <v>3</v>
      </c>
      <c r="D30">
        <v>2.6</v>
      </c>
      <c r="E30">
        <v>4.2</v>
      </c>
      <c r="F30">
        <v>6.2</v>
      </c>
      <c r="G30">
        <v>17</v>
      </c>
      <c r="H30">
        <v>8</v>
      </c>
      <c r="I30">
        <v>20</v>
      </c>
      <c r="J30">
        <v>13</v>
      </c>
    </row>
    <row r="31" spans="2:10">
      <c r="B31" t="s">
        <v>38</v>
      </c>
      <c r="C31" s="20">
        <v>2.9</v>
      </c>
      <c r="D31">
        <v>2.7</v>
      </c>
      <c r="E31">
        <v>3.4</v>
      </c>
      <c r="F31">
        <v>5.8</v>
      </c>
      <c r="G31">
        <v>11</v>
      </c>
      <c r="H31">
        <v>11</v>
      </c>
      <c r="I31">
        <v>6</v>
      </c>
      <c r="J31">
        <v>9</v>
      </c>
    </row>
    <row r="32" spans="2:10">
      <c r="B32" t="s">
        <v>17</v>
      </c>
      <c r="C32" s="20">
        <v>2.2999999999999998</v>
      </c>
      <c r="D32">
        <v>2.2000000000000002</v>
      </c>
      <c r="E32">
        <v>2.6</v>
      </c>
      <c r="F32">
        <v>4.3</v>
      </c>
      <c r="G32">
        <v>6</v>
      </c>
      <c r="H32">
        <v>3</v>
      </c>
      <c r="I32">
        <v>1</v>
      </c>
      <c r="J32">
        <v>2</v>
      </c>
    </row>
    <row r="33" spans="2:10">
      <c r="B33" t="s">
        <v>35</v>
      </c>
      <c r="C33" s="20">
        <v>5.0999999999999996</v>
      </c>
      <c r="D33">
        <v>5.2</v>
      </c>
      <c r="E33">
        <v>6.8</v>
      </c>
      <c r="F33">
        <v>13.5</v>
      </c>
      <c r="G33">
        <v>51</v>
      </c>
      <c r="H33">
        <v>51</v>
      </c>
      <c r="I33">
        <v>47</v>
      </c>
      <c r="J33">
        <v>51</v>
      </c>
    </row>
    <row r="34" spans="2:10">
      <c r="B34" t="s">
        <v>46</v>
      </c>
      <c r="C34" s="20">
        <v>2.2000000000000002</v>
      </c>
      <c r="D34">
        <v>2.2999999999999998</v>
      </c>
      <c r="E34">
        <v>3.4</v>
      </c>
      <c r="F34">
        <v>6.7</v>
      </c>
      <c r="G34">
        <v>5</v>
      </c>
      <c r="H34">
        <v>4</v>
      </c>
      <c r="I34">
        <v>6</v>
      </c>
      <c r="J34">
        <v>23</v>
      </c>
    </row>
    <row r="35" spans="2:10">
      <c r="B35" t="s">
        <v>45</v>
      </c>
      <c r="C35" s="20">
        <v>4.4000000000000004</v>
      </c>
      <c r="D35">
        <v>3.9</v>
      </c>
      <c r="E35">
        <v>6.7</v>
      </c>
      <c r="F35">
        <v>9.4</v>
      </c>
      <c r="G35">
        <v>47</v>
      </c>
      <c r="H35">
        <v>34</v>
      </c>
      <c r="I35">
        <v>46</v>
      </c>
      <c r="J35">
        <v>46</v>
      </c>
    </row>
    <row r="36" spans="2:10">
      <c r="B36" t="s">
        <v>25</v>
      </c>
      <c r="C36" s="20">
        <v>3.8</v>
      </c>
      <c r="D36">
        <v>4.0999999999999996</v>
      </c>
      <c r="E36">
        <v>7.1</v>
      </c>
      <c r="F36">
        <v>7.9</v>
      </c>
      <c r="G36">
        <v>36</v>
      </c>
      <c r="H36">
        <v>40</v>
      </c>
      <c r="I36">
        <v>49</v>
      </c>
      <c r="J36">
        <v>32</v>
      </c>
    </row>
    <row r="37" spans="2:10">
      <c r="B37" t="s">
        <v>52</v>
      </c>
      <c r="C37" s="20">
        <v>4.2</v>
      </c>
      <c r="D37">
        <v>4.3</v>
      </c>
      <c r="E37">
        <v>7.1</v>
      </c>
      <c r="F37">
        <v>9.8000000000000007</v>
      </c>
      <c r="G37">
        <v>44</v>
      </c>
      <c r="H37">
        <v>46</v>
      </c>
      <c r="I37">
        <v>49</v>
      </c>
      <c r="J37">
        <v>47</v>
      </c>
    </row>
    <row r="38" spans="2:10">
      <c r="B38" t="s">
        <v>31</v>
      </c>
      <c r="C38" s="20">
        <v>3.5</v>
      </c>
      <c r="D38">
        <v>3.7</v>
      </c>
      <c r="E38">
        <v>4.9000000000000004</v>
      </c>
      <c r="F38">
        <v>7.2</v>
      </c>
      <c r="G38">
        <v>32</v>
      </c>
      <c r="H38">
        <v>29</v>
      </c>
      <c r="I38">
        <v>26</v>
      </c>
      <c r="J38">
        <v>25</v>
      </c>
    </row>
    <row r="39" spans="2:10">
      <c r="B39" t="s">
        <v>27</v>
      </c>
      <c r="C39" s="20">
        <v>1.9</v>
      </c>
      <c r="D39">
        <v>2</v>
      </c>
      <c r="E39">
        <v>3</v>
      </c>
      <c r="F39">
        <v>4.9000000000000004</v>
      </c>
      <c r="G39">
        <v>1</v>
      </c>
      <c r="H39">
        <v>1</v>
      </c>
      <c r="I39">
        <v>4</v>
      </c>
      <c r="J39">
        <v>4</v>
      </c>
    </row>
    <row r="40" spans="2:10">
      <c r="B40" t="s">
        <v>28</v>
      </c>
      <c r="C40" s="20">
        <v>3.5</v>
      </c>
      <c r="D40">
        <v>4</v>
      </c>
      <c r="E40">
        <v>5.0999999999999996</v>
      </c>
      <c r="F40">
        <v>8.1999999999999993</v>
      </c>
      <c r="G40">
        <v>32</v>
      </c>
      <c r="H40">
        <v>38</v>
      </c>
      <c r="I40">
        <v>27</v>
      </c>
      <c r="J40">
        <v>37</v>
      </c>
    </row>
    <row r="41" spans="2:10">
      <c r="B41" t="s">
        <v>6</v>
      </c>
      <c r="C41" s="20">
        <v>3.2</v>
      </c>
      <c r="D41">
        <v>3.1</v>
      </c>
      <c r="E41">
        <v>4</v>
      </c>
      <c r="F41">
        <v>6.3</v>
      </c>
      <c r="G41">
        <v>23</v>
      </c>
      <c r="H41">
        <v>19</v>
      </c>
      <c r="I41">
        <v>18</v>
      </c>
      <c r="J41">
        <v>15</v>
      </c>
    </row>
    <row r="42" spans="2:10">
      <c r="B42" t="s">
        <v>47</v>
      </c>
      <c r="C42" s="20">
        <v>3.7</v>
      </c>
      <c r="D42">
        <v>3.9</v>
      </c>
      <c r="E42">
        <v>5.2</v>
      </c>
      <c r="F42">
        <v>7.6</v>
      </c>
      <c r="G42">
        <v>34</v>
      </c>
      <c r="H42">
        <v>34</v>
      </c>
      <c r="I42">
        <v>30</v>
      </c>
      <c r="J42">
        <v>29</v>
      </c>
    </row>
    <row r="43" spans="2:10">
      <c r="B43" t="s">
        <v>32</v>
      </c>
      <c r="C43" s="20">
        <v>3.4</v>
      </c>
      <c r="D43">
        <v>4.0999999999999996</v>
      </c>
      <c r="E43">
        <v>5.9</v>
      </c>
      <c r="F43">
        <v>8.9</v>
      </c>
      <c r="G43">
        <v>30</v>
      </c>
      <c r="H43">
        <v>40</v>
      </c>
      <c r="I43">
        <v>41</v>
      </c>
      <c r="J43">
        <v>42</v>
      </c>
    </row>
    <row r="44" spans="2:10">
      <c r="B44" t="s">
        <v>43</v>
      </c>
      <c r="C44" s="20">
        <v>3</v>
      </c>
      <c r="D44">
        <v>3.2</v>
      </c>
      <c r="E44">
        <v>5.5</v>
      </c>
      <c r="F44">
        <v>9.1999999999999993</v>
      </c>
      <c r="G44">
        <v>17</v>
      </c>
      <c r="H44">
        <v>23</v>
      </c>
      <c r="I44">
        <v>35</v>
      </c>
      <c r="J44">
        <v>43</v>
      </c>
    </row>
    <row r="45" spans="2:10">
      <c r="B45" t="s">
        <v>30</v>
      </c>
      <c r="C45" s="20">
        <v>3</v>
      </c>
      <c r="D45">
        <v>3.2</v>
      </c>
      <c r="E45">
        <v>3.9</v>
      </c>
      <c r="F45">
        <v>6</v>
      </c>
      <c r="G45">
        <v>17</v>
      </c>
      <c r="H45">
        <v>23</v>
      </c>
      <c r="I45">
        <v>13</v>
      </c>
      <c r="J45">
        <v>12</v>
      </c>
    </row>
    <row r="46" spans="2:10">
      <c r="B46" t="s">
        <v>22</v>
      </c>
      <c r="C46" s="20">
        <v>2</v>
      </c>
      <c r="D46">
        <v>2</v>
      </c>
      <c r="E46">
        <v>2.6</v>
      </c>
      <c r="F46">
        <v>4.2</v>
      </c>
      <c r="G46">
        <v>2</v>
      </c>
      <c r="H46">
        <v>1</v>
      </c>
      <c r="I46">
        <v>1</v>
      </c>
      <c r="J46">
        <v>1</v>
      </c>
    </row>
    <row r="47" spans="2:10">
      <c r="B47" t="s">
        <v>13</v>
      </c>
      <c r="C47" s="20">
        <v>3.3</v>
      </c>
      <c r="D47">
        <v>3.4</v>
      </c>
      <c r="E47">
        <v>4.5</v>
      </c>
      <c r="F47">
        <v>7.4</v>
      </c>
      <c r="G47">
        <v>27</v>
      </c>
      <c r="H47">
        <v>27</v>
      </c>
      <c r="I47">
        <v>21</v>
      </c>
      <c r="J47">
        <v>27</v>
      </c>
    </row>
    <row r="48" spans="2:10">
      <c r="B48" t="s">
        <v>24</v>
      </c>
      <c r="C48" s="20">
        <v>3.9</v>
      </c>
      <c r="D48">
        <v>3.9</v>
      </c>
      <c r="E48">
        <v>5.6</v>
      </c>
      <c r="F48">
        <v>7.7</v>
      </c>
      <c r="G48">
        <v>38</v>
      </c>
      <c r="H48">
        <v>34</v>
      </c>
      <c r="I48">
        <v>38</v>
      </c>
      <c r="J48">
        <v>30</v>
      </c>
    </row>
    <row r="49" spans="2:10">
      <c r="B49" t="s">
        <v>39</v>
      </c>
      <c r="C49" s="20">
        <v>2.6</v>
      </c>
      <c r="D49">
        <v>2.4</v>
      </c>
      <c r="E49">
        <v>2.8</v>
      </c>
      <c r="F49">
        <v>4.8</v>
      </c>
      <c r="G49">
        <v>8</v>
      </c>
      <c r="H49">
        <v>6</v>
      </c>
      <c r="I49">
        <v>3</v>
      </c>
      <c r="J49">
        <v>3</v>
      </c>
    </row>
    <row r="50" spans="2:10">
      <c r="B50" t="s">
        <v>48</v>
      </c>
      <c r="C50" s="20">
        <v>2</v>
      </c>
      <c r="D50">
        <v>2.2999999999999998</v>
      </c>
      <c r="E50">
        <v>3.6</v>
      </c>
      <c r="F50">
        <v>5.6</v>
      </c>
      <c r="G50">
        <v>2</v>
      </c>
      <c r="H50">
        <v>4</v>
      </c>
      <c r="I50">
        <v>9</v>
      </c>
      <c r="J50">
        <v>8</v>
      </c>
    </row>
    <row r="51" spans="2:10">
      <c r="B51" t="s">
        <v>37</v>
      </c>
      <c r="C51" s="20">
        <v>2.9</v>
      </c>
      <c r="D51">
        <v>2.8</v>
      </c>
      <c r="E51">
        <v>3.9</v>
      </c>
      <c r="F51">
        <v>6.4</v>
      </c>
      <c r="G51">
        <v>11</v>
      </c>
      <c r="H51">
        <v>12</v>
      </c>
      <c r="I51">
        <v>13</v>
      </c>
      <c r="J51">
        <v>17</v>
      </c>
    </row>
    <row r="52" spans="2:10">
      <c r="B52" t="s">
        <v>49</v>
      </c>
      <c r="C52" s="20">
        <v>4.0999999999999996</v>
      </c>
      <c r="D52">
        <v>4.0999999999999996</v>
      </c>
      <c r="E52">
        <v>5.2</v>
      </c>
      <c r="F52">
        <v>8.5</v>
      </c>
      <c r="G52">
        <v>43</v>
      </c>
      <c r="H52">
        <v>40</v>
      </c>
      <c r="I52">
        <v>30</v>
      </c>
      <c r="J52">
        <v>40</v>
      </c>
    </row>
    <row r="53" spans="2:10">
      <c r="B53" t="s">
        <v>9</v>
      </c>
      <c r="C53" s="20">
        <v>3.9</v>
      </c>
      <c r="D53">
        <v>3.9</v>
      </c>
      <c r="E53">
        <v>5.0999999999999996</v>
      </c>
      <c r="F53">
        <v>8.1999999999999993</v>
      </c>
      <c r="G53">
        <v>38</v>
      </c>
      <c r="H53">
        <v>34</v>
      </c>
      <c r="I53">
        <v>27</v>
      </c>
      <c r="J53">
        <v>37</v>
      </c>
    </row>
    <row r="54" spans="2:10">
      <c r="B54" t="s">
        <v>29</v>
      </c>
      <c r="C54" s="20">
        <v>3</v>
      </c>
      <c r="D54">
        <v>2.9</v>
      </c>
      <c r="E54">
        <v>3.9</v>
      </c>
      <c r="F54">
        <v>6.4</v>
      </c>
      <c r="G54">
        <v>17</v>
      </c>
      <c r="H54">
        <v>16</v>
      </c>
      <c r="I54">
        <v>13</v>
      </c>
      <c r="J54">
        <v>17</v>
      </c>
    </row>
    <row r="55" spans="2:10">
      <c r="B55" t="s">
        <v>23</v>
      </c>
      <c r="C55" s="20">
        <v>2.9</v>
      </c>
      <c r="D55">
        <v>3.4</v>
      </c>
      <c r="E55">
        <v>4.5</v>
      </c>
      <c r="F55">
        <v>5.9</v>
      </c>
      <c r="G55">
        <v>11</v>
      </c>
      <c r="H55">
        <v>27</v>
      </c>
      <c r="I55">
        <v>21</v>
      </c>
      <c r="J55">
        <v>11</v>
      </c>
    </row>
  </sheetData>
  <sheetProtection sheet="1" objects="1" scenarios="1" sort="0"/>
  <mergeCells count="1">
    <mergeCell ref="A1:K1"/>
  </mergeCells>
  <pageMargins left="0.7" right="0.7" top="0.75" bottom="0.75" header="0.3" footer="0.3"/>
  <pageSetup orientation="portrait" horizontalDpi="0" verticalDpi="0"/>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Information</vt:lpstr>
      <vt:lpstr>Education Rankings</vt:lpstr>
      <vt:lpstr>Living Conditions</vt:lpstr>
      <vt:lpstr>Income and Expense</vt:lpstr>
      <vt:lpstr>Income Comparision</vt:lpstr>
      <vt:lpstr>Unemployment Comparision</vt:lpstr>
      <vt:lpstr>US Population</vt:lpstr>
      <vt:lpstr>US Cost of Living Index 2023</vt:lpstr>
      <vt:lpstr>US Median Income 2012 - 2023</vt:lpstr>
      <vt:lpstr>US Unemployment Rates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Khoa Pham</dc:creator>
  <cp:lastModifiedBy>Khoa Pham</cp:lastModifiedBy>
  <dcterms:created xsi:type="dcterms:W3CDTF">2024-04-28T22:11:26Z</dcterms:created>
  <dcterms:modified xsi:type="dcterms:W3CDTF">2024-05-08T23:53:54Z</dcterms:modified>
</cp:coreProperties>
</file>