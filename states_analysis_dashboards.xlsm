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omments4.xml" ContentType="application/vnd.openxmlformats-officedocument.spreadsheetml.comments+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omments5.xml" ContentType="application/vnd.openxmlformats-officedocument.spreadsheetml.comments+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hidePivotFieldList="1" defaultThemeVersion="202300"/>
  <mc:AlternateContent xmlns:mc="http://schemas.openxmlformats.org/markup-compatibility/2006">
    <mc:Choice Requires="x15">
      <x15ac:absPath xmlns:x15ac="http://schemas.microsoft.com/office/spreadsheetml/2010/11/ac" url="/Users/koapam/Desktop/Coding_Workspace/DS_projects/State Economic Dynamics Analysis/"/>
    </mc:Choice>
  </mc:AlternateContent>
  <xr:revisionPtr revIDLastSave="0" documentId="13_ncr:1_{F1EEE225-919F-9748-BDD2-AA40228AEF13}" xr6:coauthVersionLast="47" xr6:coauthVersionMax="47" xr10:uidLastSave="{00000000-0000-0000-0000-000000000000}"/>
  <bookViews>
    <workbookView xWindow="4280" yWindow="880" windowWidth="27440" windowHeight="22500" tabRatio="747" xr2:uid="{7D61E666-984E-184E-BA4B-88EC069E182D}"/>
  </bookViews>
  <sheets>
    <sheet name="Information" sheetId="14" r:id="rId1"/>
    <sheet name="Education Rankings" sheetId="16" r:id="rId2"/>
    <sheet name="Living Conditions" sheetId="12" r:id="rId3"/>
    <sheet name="Income and Expense" sheetId="5" r:id="rId4"/>
    <sheet name="Income Comparision" sheetId="22" r:id="rId5"/>
    <sheet name="Unemployment Comparision" sheetId="21" r:id="rId6"/>
    <sheet name="US Population" sheetId="2" r:id="rId7"/>
    <sheet name="US Cost of Living Index 2023" sheetId="1" r:id="rId8"/>
    <sheet name="US Median Income 2012 - 2023" sheetId="10" r:id="rId9"/>
    <sheet name="US Unemployment Rates" sheetId="4" r:id="rId10"/>
  </sheets>
  <definedNames>
    <definedName name="_xlchart.v5.0" hidden="1">'US Median Income 2012 - 2023'!$B$4</definedName>
    <definedName name="_xlchart.v5.1" hidden="1">'US Median Income 2012 - 2023'!$B$5:$B$55</definedName>
    <definedName name="_xlchart.v5.2" hidden="1">'US Median Income 2012 - 2023'!$H$4</definedName>
    <definedName name="_xlchart.v5.3" hidden="1">'US Median Income 2012 - 2023'!$H$5:$H$55</definedName>
    <definedName name="_xlchart.v5.4" hidden="1">'US Cost of Living Index 2023'!$B$4</definedName>
    <definedName name="_xlchart.v5.5" hidden="1">'US Cost of Living Index 2023'!$B$5:$B$55</definedName>
    <definedName name="_xlchart.v5.6" hidden="1">'US Cost of Living Index 2023'!$C$4</definedName>
    <definedName name="_xlchart.v5.7" hidden="1">'US Cost of Living Index 2023'!$C$5:$C$55</definedName>
    <definedName name="Slicer_State1">#N/A</definedName>
    <definedName name="Slicer_States">#N/A</definedName>
  </definedNames>
  <calcPr calcId="191029"/>
  <pivotCaches>
    <pivotCache cacheId="2" r:id="rId11"/>
    <pivotCache cacheId="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5" l="1"/>
  <c r="D6" i="5"/>
  <c r="F6" i="5"/>
  <c r="C7" i="5"/>
  <c r="D7" i="5"/>
  <c r="F7" i="5"/>
  <c r="E11" i="5"/>
  <c r="E7" i="5" s="1"/>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6" i="5" s="1"/>
  <c r="E41" i="5"/>
  <c r="E42" i="5"/>
  <c r="E43" i="5"/>
  <c r="E44" i="5"/>
  <c r="E45" i="5"/>
  <c r="E46" i="5"/>
  <c r="E47" i="5"/>
  <c r="E48" i="5"/>
  <c r="E49" i="5"/>
  <c r="E50" i="5"/>
  <c r="E51" i="5"/>
  <c r="E52" i="5"/>
  <c r="E53" i="5"/>
  <c r="E54" i="5"/>
  <c r="E55" i="5"/>
  <c r="E56" i="5"/>
  <c r="E57" i="5"/>
  <c r="E58" i="5"/>
  <c r="E59" i="5"/>
  <c r="E60" i="5"/>
  <c r="E61" i="5"/>
  <c r="E5" i="5" l="1"/>
  <c r="C5" i="5"/>
  <c r="D5" i="5"/>
  <c r="F5" i="5"/>
  <c r="H7" i="5" l="1"/>
  <c r="H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A1" authorId="0" shapeId="0" xr:uid="{0ACDA30A-FDE2-4B83-A1C8-F12F1E4C9008}">
      <text>
        <r>
          <rPr>
            <b/>
            <sz val="9"/>
            <color rgb="FF000000"/>
            <rFont val="Tahoma"/>
            <family val="2"/>
          </rPr>
          <t>Macro Buttons + Conditional Formating</t>
        </r>
      </text>
    </comment>
    <comment ref="E4" authorId="0" shapeId="0" xr:uid="{F629A100-AA0A-4EC1-B1BC-05597DFDE1EA}">
      <text>
        <r>
          <rPr>
            <b/>
            <sz val="20"/>
            <color rgb="FF000000"/>
            <rFont val="Aptos Narrow"/>
            <family val="2"/>
          </rPr>
          <t xml:space="preserve">The Student Success subcategory evaluates states across 15 indicators, including SAT scores, expulsion rates, dropout /graduation rates, and rates of students who go on to attend college.
</t>
        </r>
      </text>
    </comment>
    <comment ref="F4" authorId="0" shapeId="0" xr:uid="{34F746DC-EDA4-49BD-B926-E7814EB2FBB6}">
      <text>
        <r>
          <rPr>
            <b/>
            <sz val="20"/>
            <color rgb="FF000000"/>
            <rFont val="Aptos Narrow"/>
            <family val="2"/>
          </rPr>
          <t>The Student Safety subcategory evaluates states across 15 indicators, including bullying rate, instances of crimes such as robbery or sexual assault, and the prevalence of illegal drug sales on school property.</t>
        </r>
      </text>
    </comment>
    <comment ref="G4" authorId="0" shapeId="0" xr:uid="{B4AA4787-F177-4F51-8E5B-CF99712E01E2}">
      <text>
        <r>
          <rPr>
            <b/>
            <sz val="20"/>
            <color rgb="FF000000"/>
            <rFont val="Aptos Narrow"/>
            <family val="2"/>
          </rPr>
          <t>The School Quality subcategory evaluates states across 12 indicators, including % of teachers who meet all state licensing requirements, annual per-student spending, student-to-teacher ratio, schools that require health education.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B1" authorId="0" shapeId="0" xr:uid="{1787F70A-8F2D-418B-AD1C-B828E0AA2922}">
      <text>
        <r>
          <rPr>
            <b/>
            <sz val="12"/>
            <color rgb="FF000000"/>
            <rFont val="Tahoma"/>
            <family val="2"/>
          </rPr>
          <t xml:space="preserve">- 8 Condtional Formatings
</t>
        </r>
        <r>
          <rPr>
            <b/>
            <sz val="12"/>
            <color rgb="FF000000"/>
            <rFont val="Tahoma"/>
            <family val="2"/>
          </rPr>
          <t>- 9 Macros</t>
        </r>
      </text>
    </comment>
    <comment ref="I7" authorId="0" shapeId="0" xr:uid="{EC5C29AB-74A6-7D48-AC5C-A4C683E1E6EC}">
      <text>
        <r>
          <rPr>
            <b/>
            <sz val="10"/>
            <color rgb="FF000000"/>
            <rFont val="Tahoma"/>
            <family val="2"/>
          </rPr>
          <t>per 100k of the population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B1" authorId="0" shapeId="0" xr:uid="{D43790A5-3A45-4699-9D59-5C840FE74A5C}">
      <text>
        <r>
          <rPr>
            <b/>
            <sz val="9"/>
            <color rgb="FF000000"/>
            <rFont val="Tahoma"/>
            <family val="2"/>
          </rPr>
          <t xml:space="preserve">- Return Data Table
</t>
        </r>
        <r>
          <rPr>
            <b/>
            <sz val="9"/>
            <color rgb="FF000000"/>
            <rFont val="Tahoma"/>
            <family val="2"/>
          </rPr>
          <t xml:space="preserve">- Drop Lists
</t>
        </r>
        <r>
          <rPr>
            <b/>
            <sz val="9"/>
            <color rgb="FF000000"/>
            <rFont val="Tahoma"/>
            <family val="2"/>
          </rPr>
          <t xml:space="preserve">- Data Validation
</t>
        </r>
        <r>
          <rPr>
            <b/>
            <sz val="9"/>
            <color rgb="FF000000"/>
            <rFont val="Tahoma"/>
            <family val="2"/>
          </rPr>
          <t xml:space="preserve">- IF/ OR/ XLOOKUP
</t>
        </r>
        <r>
          <rPr>
            <b/>
            <sz val="9"/>
            <color rgb="FF000000"/>
            <rFont val="Tahoma"/>
            <family val="2"/>
          </rPr>
          <t>- 2 Map Charts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A1" authorId="0" shapeId="0" xr:uid="{918EE21B-8FA9-412E-A239-AC94709A2743}">
      <text>
        <r>
          <rPr>
            <b/>
            <sz val="9"/>
            <color rgb="FF000000"/>
            <rFont val="Tahoma"/>
            <family val="2"/>
          </rPr>
          <t xml:space="preserve">- Pivot Chart and Table
</t>
        </r>
        <r>
          <rPr>
            <b/>
            <sz val="9"/>
            <color rgb="FF000000"/>
            <rFont val="Tahoma"/>
            <family val="2"/>
          </rPr>
          <t xml:space="preserve">- Slicer
</t>
        </r>
        <r>
          <rPr>
            <b/>
            <sz val="9"/>
            <color rgb="FF000000"/>
            <rFont val="Tahoma"/>
            <family val="2"/>
          </rPr>
          <t>- Sparkline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A1" authorId="0" shapeId="0" xr:uid="{A92F9440-CDAB-4CB9-8320-E97E3A36AC21}">
      <text>
        <r>
          <rPr>
            <b/>
            <sz val="9"/>
            <color rgb="FF000000"/>
            <rFont val="Tahoma"/>
            <family val="2"/>
          </rPr>
          <t xml:space="preserve">- Pivot Chart and Table
</t>
        </r>
        <r>
          <rPr>
            <b/>
            <sz val="9"/>
            <color rgb="FF000000"/>
            <rFont val="Tahoma"/>
            <family val="2"/>
          </rPr>
          <t xml:space="preserve">- Slicer
</t>
        </r>
        <r>
          <rPr>
            <b/>
            <sz val="9"/>
            <color rgb="FF000000"/>
            <rFont val="Tahoma"/>
            <family val="2"/>
          </rPr>
          <t>- Sparkline</t>
        </r>
      </text>
    </comment>
  </commentList>
</comments>
</file>

<file path=xl/sharedStrings.xml><?xml version="1.0" encoding="utf-8"?>
<sst xmlns="http://schemas.openxmlformats.org/spreadsheetml/2006/main" count="457" uniqueCount="135">
  <si>
    <t>State</t>
  </si>
  <si>
    <t>Grocery</t>
  </si>
  <si>
    <t>Housing</t>
  </si>
  <si>
    <t>Utilities</t>
  </si>
  <si>
    <t>Transportation</t>
  </si>
  <si>
    <t>Health </t>
  </si>
  <si>
    <t>Oklahoma</t>
  </si>
  <si>
    <t>Mississippi</t>
  </si>
  <si>
    <t>Kansas</t>
  </si>
  <si>
    <t>West Virginia</t>
  </si>
  <si>
    <t>Alabama</t>
  </si>
  <si>
    <t>Missouri</t>
  </si>
  <si>
    <t>Arkansas</t>
  </si>
  <si>
    <t>Tennessee</t>
  </si>
  <si>
    <t>Iowa</t>
  </si>
  <si>
    <t>Michigan</t>
  </si>
  <si>
    <t>Georgia</t>
  </si>
  <si>
    <t>Nebraska</t>
  </si>
  <si>
    <t>Louisiana</t>
  </si>
  <si>
    <t>Indiana</t>
  </si>
  <si>
    <t>Kentucky</t>
  </si>
  <si>
    <t>Illinois</t>
  </si>
  <si>
    <t>South Dakota</t>
  </si>
  <si>
    <t>Wyoming</t>
  </si>
  <si>
    <t>Texas</t>
  </si>
  <si>
    <t>New Mexico</t>
  </si>
  <si>
    <t>Minnesota</t>
  </si>
  <si>
    <t>North Dakota</t>
  </si>
  <si>
    <t>Ohio</t>
  </si>
  <si>
    <t>Wisconsin</t>
  </si>
  <si>
    <t>South Carolina</t>
  </si>
  <si>
    <t>North Carolina</t>
  </si>
  <si>
    <t>Pennsylvania</t>
  </si>
  <si>
    <t>Idaho</t>
  </si>
  <si>
    <t>Florida</t>
  </si>
  <si>
    <t>Nevada</t>
  </si>
  <si>
    <t>Delaware</t>
  </si>
  <si>
    <t>Virginia</t>
  </si>
  <si>
    <t>Montana</t>
  </si>
  <si>
    <t>Utah</t>
  </si>
  <si>
    <t>Colorado</t>
  </si>
  <si>
    <t>Arizona</t>
  </si>
  <si>
    <t>Maine</t>
  </si>
  <si>
    <t>Rhode Island</t>
  </si>
  <si>
    <t>Connecticut</t>
  </si>
  <si>
    <t>New Jersey</t>
  </si>
  <si>
    <t>New Hampshire</t>
  </si>
  <si>
    <t>Oregon</t>
  </si>
  <si>
    <t>Vermont</t>
  </si>
  <si>
    <t>Washington</t>
  </si>
  <si>
    <t>Maryland</t>
  </si>
  <si>
    <t>Alaska</t>
  </si>
  <si>
    <t>New York</t>
  </si>
  <si>
    <t>California</t>
  </si>
  <si>
    <t>Massachusetts</t>
  </si>
  <si>
    <t>District of Columbia</t>
  </si>
  <si>
    <t>Hawaii</t>
  </si>
  <si>
    <t>2023 Annual Average Cost of Living</t>
  </si>
  <si>
    <t>States</t>
  </si>
  <si>
    <t>US Unemployment Rates</t>
  </si>
  <si>
    <t>2 People</t>
  </si>
  <si>
    <t>3 People</t>
  </si>
  <si>
    <t>4 People</t>
  </si>
  <si>
    <t>Student Success</t>
  </si>
  <si>
    <t>Student Safety</t>
  </si>
  <si>
    <t>School Quality</t>
  </si>
  <si>
    <t>AvgAnnualSnowfall (in)</t>
  </si>
  <si>
    <t>AvgAnnualSunlight (kJ/m^2)</t>
  </si>
  <si>
    <t>AvgTempF</t>
  </si>
  <si>
    <t>AvgTempC</t>
  </si>
  <si>
    <t>District Of Columbia</t>
  </si>
  <si>
    <t>2023 Rate</t>
  </si>
  <si>
    <t>2023 Rank</t>
  </si>
  <si>
    <t>2022 Rate</t>
  </si>
  <si>
    <t>2022 Rank</t>
  </si>
  <si>
    <t>2021 Rate</t>
  </si>
  <si>
    <t>2021 Rank</t>
  </si>
  <si>
    <t>2020 Rate</t>
  </si>
  <si>
    <t>2020 Rank</t>
  </si>
  <si>
    <t>Sources</t>
  </si>
  <si>
    <t>Cost of Living Data Series | Missouri Economic Research and Information Center (mo.gov)</t>
  </si>
  <si>
    <t>Average Rent By State – Forbes Advisor</t>
  </si>
  <si>
    <t>US Cost of Living</t>
  </si>
  <si>
    <t>US Monthly Rent Rates</t>
  </si>
  <si>
    <t>Grocery Prices by State 2024 (worldpopulationreview.com)</t>
  </si>
  <si>
    <t>US Grocery Price</t>
  </si>
  <si>
    <t>Historical Income Households (census.gov)</t>
  </si>
  <si>
    <t>US Median Income 2023</t>
  </si>
  <si>
    <t>Family Income 2023 | U.S. Trustee Program (justice.gov)</t>
  </si>
  <si>
    <t>Public School Rankings by State 2024 (worldpopulationreview.com)</t>
  </si>
  <si>
    <t>US School Quality</t>
  </si>
  <si>
    <t>Reported violent crime rate in the U.S. by state 2022 | Statista</t>
  </si>
  <si>
    <t>US Crime Rate</t>
  </si>
  <si>
    <t>Best Weather by State 2024 (worldpopulationreview.com)</t>
  </si>
  <si>
    <t>US Weather Conditions</t>
  </si>
  <si>
    <t>State Population Totals (census.gov)</t>
  </si>
  <si>
    <t>Unempoyment Rates for States|Bureau of Labor Statistics</t>
  </si>
  <si>
    <t>US Population</t>
  </si>
  <si>
    <t>1 Earner (2018)</t>
  </si>
  <si>
    <t>1 Earner (2012)</t>
  </si>
  <si>
    <t>US Median Income 2012 - 2018</t>
  </si>
  <si>
    <t>2020 Population</t>
  </si>
  <si>
    <t>2021 Population</t>
  </si>
  <si>
    <t>2022 Population</t>
  </si>
  <si>
    <t>2023 Population</t>
  </si>
  <si>
    <t>United States Population Estimate 2020 - 2023</t>
  </si>
  <si>
    <t>US Unemployment Rates 2020 - 2023</t>
  </si>
  <si>
    <t>2023 Rate (%)</t>
  </si>
  <si>
    <t>2022 Rate (%)</t>
  </si>
  <si>
    <t>2021 Rate (%)</t>
  </si>
  <si>
    <t>2020 Rate (%)</t>
  </si>
  <si>
    <t>1 Earner (2023)</t>
  </si>
  <si>
    <t>Median Income 2012 - 2023</t>
  </si>
  <si>
    <t>Data</t>
  </si>
  <si>
    <t>Population</t>
  </si>
  <si>
    <t>NumOfExtremeWeatherEvents</t>
  </si>
  <si>
    <t>Crime Cases</t>
  </si>
  <si>
    <t>Rank</t>
  </si>
  <si>
    <t>Index</t>
  </si>
  <si>
    <t>Misc.</t>
  </si>
  <si>
    <t>2018 Income</t>
  </si>
  <si>
    <t>2012 Income</t>
  </si>
  <si>
    <t>2023 Income</t>
  </si>
  <si>
    <t>Monthly Rent</t>
  </si>
  <si>
    <t>Monthly Grocery</t>
  </si>
  <si>
    <t>Monthly Income</t>
  </si>
  <si>
    <t>How Much Do You Spend Monthly?</t>
  </si>
  <si>
    <t>How Much Do You Save Monthly?</t>
  </si>
  <si>
    <t>Living Conditions by State in 2023</t>
  </si>
  <si>
    <t>Annual Income</t>
  </si>
  <si>
    <t>Public School Rankings by State in 2023</t>
  </si>
  <si>
    <t>AvgAnnualPrecipitation (in)</t>
  </si>
  <si>
    <t>Income and Expenses by State 2023</t>
  </si>
  <si>
    <t>Income Comparision</t>
  </si>
  <si>
    <t>Unemployment Comparsion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</si>
</sst>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43" formatCode="_(* #,##0.00_);_(* \(#,##0.00\);_(* &quot;-&quot;??_);_(@_)"/>
    <numFmt numFmtId="164" formatCode="_(* #,##0_);_(* \(#,##0\);_(* &quot;-&quot;??_);_(@_)"/>
    <numFmt numFmtId="165" formatCode="&quot;$&quot;#,##0.00"/>
    <numFmt numFmtId="166" formatCode="&quot;$&quot;#,##0"/>
  </numFmts>
  <fonts count="46">
    <font>
      <sz val="12"/>
      <color theme="1"/>
      <name val="Aptos Narrow"/>
      <family val="2"/>
      <scheme val="minor"/>
    </font>
    <font>
      <sz val="12"/>
      <color theme="1"/>
      <name val="Aptos Narrow"/>
      <family val="2"/>
      <scheme val="minor"/>
    </font>
    <font>
      <u/>
      <sz val="12"/>
      <color theme="10"/>
      <name val="Aptos Narrow"/>
      <family val="2"/>
      <scheme val="minor"/>
    </font>
    <font>
      <b/>
      <sz val="12"/>
      <color theme="1"/>
      <name val="Aptos Narrow"/>
      <family val="2"/>
      <scheme val="minor"/>
    </font>
    <font>
      <b/>
      <sz val="14"/>
      <name val="Arial"/>
      <family val="2"/>
    </font>
    <font>
      <sz val="14"/>
      <color theme="1"/>
      <name val="Arial"/>
      <family val="2"/>
    </font>
    <font>
      <b/>
      <sz val="14"/>
      <color theme="1"/>
      <name val="Arial"/>
      <family val="2"/>
    </font>
    <font>
      <b/>
      <sz val="14"/>
      <color theme="1"/>
      <name val="Aptos Narrow"/>
      <family val="2"/>
      <scheme val="minor"/>
    </font>
    <font>
      <b/>
      <sz val="16"/>
      <color theme="1"/>
      <name val="Aptos Narrow"/>
      <family val="2"/>
      <scheme val="minor"/>
    </font>
    <font>
      <b/>
      <sz val="18"/>
      <color theme="1"/>
      <name val="Aptos Narrow"/>
      <family val="2"/>
      <scheme val="minor"/>
    </font>
    <font>
      <b/>
      <sz val="20"/>
      <color theme="1"/>
      <name val="Aptos Narrow"/>
      <family val="2"/>
      <scheme val="minor"/>
    </font>
    <font>
      <b/>
      <sz val="22"/>
      <color theme="1"/>
      <name val="Aptos Narrow"/>
      <family val="2"/>
      <scheme val="minor"/>
    </font>
    <font>
      <b/>
      <sz val="24"/>
      <color theme="1"/>
      <name val="Aptos Narrow"/>
      <family val="2"/>
      <scheme val="minor"/>
    </font>
    <font>
      <b/>
      <sz val="10"/>
      <name val="Verdana"/>
      <family val="2"/>
    </font>
    <font>
      <i/>
      <sz val="18"/>
      <color rgb="FF333333"/>
      <name val="Arial"/>
      <family val="2"/>
    </font>
    <font>
      <b/>
      <sz val="26"/>
      <color rgb="FF000000"/>
      <name val="Times"/>
    </font>
    <font>
      <sz val="18"/>
      <color theme="1"/>
      <name val="Aptos Narrow"/>
      <family val="2"/>
      <scheme val="minor"/>
    </font>
    <font>
      <sz val="12"/>
      <name val="Arial"/>
      <family val="2"/>
    </font>
    <font>
      <sz val="12"/>
      <color rgb="FF333333"/>
      <name val="Arial"/>
      <family val="2"/>
    </font>
    <font>
      <sz val="12"/>
      <color rgb="FF000000"/>
      <name val="MS sans serif"/>
    </font>
    <font>
      <b/>
      <sz val="12"/>
      <name val="MS sans serif"/>
    </font>
    <font>
      <b/>
      <sz val="14"/>
      <color theme="1"/>
      <name val="Aptos Narrow"/>
      <family val="2"/>
      <scheme val="minor"/>
    </font>
    <font>
      <b/>
      <sz val="14"/>
      <color theme="0"/>
      <name val="Arial"/>
      <family val="2"/>
    </font>
    <font>
      <b/>
      <sz val="16"/>
      <color rgb="FF333333"/>
      <name val="Arial"/>
      <family val="2"/>
    </font>
    <font>
      <sz val="16"/>
      <color theme="1"/>
      <name val="Aptos Narrow"/>
      <family val="2"/>
      <scheme val="minor"/>
    </font>
    <font>
      <u/>
      <sz val="14"/>
      <color theme="10"/>
      <name val="Aptos Narrow"/>
      <family val="2"/>
      <scheme val="minor"/>
    </font>
    <font>
      <sz val="8"/>
      <name val="Aptos Narrow"/>
      <family val="2"/>
      <scheme val="minor"/>
    </font>
    <font>
      <sz val="14"/>
      <color theme="1"/>
      <name val="Aptos Narrow"/>
      <family val="2"/>
      <scheme val="minor"/>
    </font>
    <font>
      <b/>
      <sz val="10"/>
      <color rgb="FF000000"/>
      <name val="Tahoma"/>
      <family val="2"/>
    </font>
    <font>
      <sz val="14"/>
      <color theme="1"/>
      <name val="Aptos Narrow"/>
      <family val="2"/>
      <scheme val="minor"/>
    </font>
    <font>
      <sz val="14"/>
      <color theme="1"/>
      <name val="Aptos Narrow"/>
      <family val="2"/>
      <scheme val="minor"/>
    </font>
    <font>
      <b/>
      <sz val="16"/>
      <color theme="1"/>
      <name val="Aptos Narrow"/>
      <family val="2"/>
      <scheme val="minor"/>
    </font>
    <font>
      <b/>
      <sz val="20"/>
      <color rgb="FF000000"/>
      <name val="Aptos Narrow"/>
      <family val="2"/>
    </font>
    <font>
      <b/>
      <sz val="16"/>
      <color theme="0"/>
      <name val="Aptos Narrow"/>
      <family val="2"/>
      <scheme val="minor"/>
    </font>
    <font>
      <b/>
      <sz val="26"/>
      <color theme="1"/>
      <name val="Aptos Narrow"/>
      <family val="2"/>
      <scheme val="minor"/>
    </font>
    <font>
      <b/>
      <sz val="20"/>
      <color theme="5" tint="-0.249977111117893"/>
      <name val="Aptos Narrow"/>
      <family val="2"/>
      <scheme val="minor"/>
    </font>
    <font>
      <b/>
      <sz val="20"/>
      <color theme="9"/>
      <name val="Aptos Narrow"/>
      <family val="2"/>
      <scheme val="minor"/>
    </font>
    <font>
      <b/>
      <sz val="16"/>
      <color theme="0"/>
      <name val="Arial"/>
      <family val="2"/>
    </font>
    <font>
      <b/>
      <sz val="14"/>
      <color rgb="FF000000"/>
      <name val="Aptos Narrow"/>
    </font>
    <font>
      <b/>
      <sz val="20"/>
      <color rgb="FF000000"/>
      <name val="Aptos Narrow"/>
    </font>
    <font>
      <b/>
      <sz val="9"/>
      <color rgb="FF000000"/>
      <name val="Tahoma"/>
      <family val="2"/>
    </font>
    <font>
      <b/>
      <sz val="36"/>
      <color theme="1"/>
      <name val="Aptos Narrow"/>
      <family val="2"/>
      <scheme val="minor"/>
    </font>
    <font>
      <b/>
      <sz val="36"/>
      <color rgb="FF333333"/>
      <name val="Arial"/>
      <family val="2"/>
    </font>
    <font>
      <b/>
      <sz val="12"/>
      <color rgb="FF000000"/>
      <name val="Tahoma"/>
      <family val="2"/>
    </font>
    <font>
      <b/>
      <sz val="14"/>
      <color theme="1"/>
      <name val="Aptos Narrow"/>
      <scheme val="minor"/>
    </font>
    <font>
      <b/>
      <sz val="12"/>
      <color theme="1"/>
      <name val="Aptos Narrow"/>
      <scheme val="minor"/>
    </font>
  </fonts>
  <fills count="13">
    <fill>
      <patternFill patternType="none"/>
    </fill>
    <fill>
      <patternFill patternType="gray125"/>
    </fill>
    <fill>
      <patternFill patternType="solid">
        <fgColor theme="6"/>
        <bgColor indexed="64"/>
      </patternFill>
    </fill>
    <fill>
      <patternFill patternType="solid">
        <fgColor theme="9" tint="0.59999389629810485"/>
        <bgColor indexed="65"/>
      </patternFill>
    </fill>
    <fill>
      <patternFill patternType="solid">
        <fgColor rgb="FFCEE28F"/>
        <bgColor indexed="64"/>
      </patternFill>
    </fill>
    <fill>
      <patternFill patternType="solid">
        <fgColor theme="1" tint="0.499984740745262"/>
        <bgColor indexed="64"/>
      </patternFill>
    </fill>
    <fill>
      <patternFill patternType="solid">
        <fgColor rgb="FFFFC000"/>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bgColor indexed="64"/>
      </patternFill>
    </fill>
    <fill>
      <patternFill patternType="solid">
        <fgColor theme="5" tint="0.79998168889431442"/>
        <bgColor indexed="64"/>
      </patternFill>
    </fill>
    <fill>
      <patternFill patternType="solid">
        <fgColor theme="8" tint="0.79998168889431442"/>
        <bgColor indexed="64"/>
      </patternFill>
    </fill>
  </fills>
  <borders count="11">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44" fontId="1" fillId="0" borderId="0" applyFont="0" applyFill="0" applyBorder="0" applyAlignment="0" applyProtection="0"/>
    <xf numFmtId="0" fontId="2" fillId="0" borderId="0" applyNumberFormat="0" applyFill="0" applyBorder="0" applyAlignment="0" applyProtection="0"/>
    <xf numFmtId="43" fontId="1" fillId="0" borderId="0" applyFont="0" applyFill="0" applyBorder="0" applyAlignment="0" applyProtection="0"/>
  </cellStyleXfs>
  <cellXfs count="111">
    <xf numFmtId="0" fontId="0" fillId="0" borderId="0" xfId="0"/>
    <xf numFmtId="0" fontId="3"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xf numFmtId="0" fontId="0" fillId="0" borderId="0" xfId="0" applyAlignment="1">
      <alignment horizontal="left"/>
    </xf>
    <xf numFmtId="0" fontId="2" fillId="0" borderId="0" xfId="2" applyAlignment="1"/>
    <xf numFmtId="3" fontId="3" fillId="0" borderId="0" xfId="0" applyNumberFormat="1" applyFont="1"/>
    <xf numFmtId="0" fontId="2" fillId="0" borderId="0" xfId="2" applyAlignment="1">
      <alignment horizontal="left"/>
    </xf>
    <xf numFmtId="0" fontId="16" fillId="0" borderId="0" xfId="0" applyFont="1"/>
    <xf numFmtId="0" fontId="7" fillId="0" borderId="0" xfId="0" applyFont="1" applyAlignment="1">
      <alignment horizontal="center" vertical="center"/>
    </xf>
    <xf numFmtId="0" fontId="17" fillId="0" borderId="0" xfId="0" applyFont="1" applyAlignment="1">
      <alignment horizontal="left"/>
    </xf>
    <xf numFmtId="0" fontId="17" fillId="0" borderId="0" xfId="0" applyFont="1" applyAlignment="1">
      <alignment horizontal="right"/>
    </xf>
    <xf numFmtId="0" fontId="20" fillId="0" borderId="1" xfId="0" applyFont="1" applyBorder="1" applyProtection="1">
      <protection locked="0"/>
    </xf>
    <xf numFmtId="0" fontId="13" fillId="0" borderId="0" xfId="0" applyFont="1" applyAlignment="1">
      <alignment vertical="center"/>
    </xf>
    <xf numFmtId="0" fontId="22" fillId="0" borderId="0" xfId="0" applyFont="1" applyAlignment="1">
      <alignment horizontal="center"/>
    </xf>
    <xf numFmtId="0" fontId="0" fillId="0" borderId="0" xfId="0" applyAlignment="1">
      <alignment horizontal="center"/>
    </xf>
    <xf numFmtId="0" fontId="2" fillId="0" borderId="0" xfId="2" applyAlignment="1">
      <alignment vertical="top" wrapText="1"/>
    </xf>
    <xf numFmtId="0" fontId="21" fillId="0" borderId="0" xfId="0" applyFont="1" applyAlignment="1">
      <alignment horizontal="center" vertical="center"/>
    </xf>
    <xf numFmtId="0" fontId="2" fillId="0" borderId="0" xfId="2" applyAlignment="1">
      <alignment wrapText="1"/>
    </xf>
    <xf numFmtId="0" fontId="0" fillId="0" borderId="0" xfId="3" applyNumberFormat="1" applyFont="1"/>
    <xf numFmtId="0" fontId="19" fillId="0" borderId="0" xfId="0" applyFont="1"/>
    <xf numFmtId="164" fontId="0" fillId="0" borderId="0" xfId="3" applyNumberFormat="1" applyFont="1"/>
    <xf numFmtId="166" fontId="0" fillId="0" borderId="0" xfId="1" applyNumberFormat="1" applyFont="1"/>
    <xf numFmtId="0" fontId="9" fillId="0" borderId="0" xfId="0" applyFont="1" applyAlignment="1">
      <alignment vertical="center"/>
    </xf>
    <xf numFmtId="0" fontId="12" fillId="0" borderId="0" xfId="0" applyFont="1" applyAlignment="1">
      <alignment vertical="center"/>
    </xf>
    <xf numFmtId="0" fontId="17" fillId="0" borderId="0" xfId="0" applyFont="1" applyAlignment="1">
      <alignment horizontal="center" vertical="center"/>
    </xf>
    <xf numFmtId="0" fontId="8" fillId="5" borderId="3" xfId="0" applyFont="1" applyFill="1" applyBorder="1" applyAlignment="1">
      <alignment horizontal="left" vertical="center"/>
    </xf>
    <xf numFmtId="0" fontId="8" fillId="5" borderId="4" xfId="0" applyFont="1" applyFill="1" applyBorder="1" applyAlignment="1">
      <alignment horizontal="center" vertical="center"/>
    </xf>
    <xf numFmtId="0" fontId="31" fillId="5" borderId="4" xfId="0" applyFont="1" applyFill="1" applyBorder="1" applyAlignment="1">
      <alignment horizontal="center" vertical="center"/>
    </xf>
    <xf numFmtId="0" fontId="31" fillId="5" borderId="5" xfId="0" applyFont="1" applyFill="1" applyBorder="1" applyAlignment="1">
      <alignment horizontal="center" vertical="center"/>
    </xf>
    <xf numFmtId="0" fontId="29" fillId="0" borderId="2" xfId="0" applyFont="1" applyBorder="1" applyAlignment="1">
      <alignment horizontal="center" vertical="center"/>
    </xf>
    <xf numFmtId="164" fontId="29" fillId="0" borderId="2" xfId="3" applyNumberFormat="1" applyFont="1" applyBorder="1" applyAlignment="1">
      <alignment horizontal="center" vertical="center"/>
    </xf>
    <xf numFmtId="0" fontId="29" fillId="0" borderId="9" xfId="0" applyFont="1" applyBorder="1" applyAlignment="1">
      <alignment horizontal="center" vertical="center"/>
    </xf>
    <xf numFmtId="0" fontId="18" fillId="0" borderId="6" xfId="0" applyFont="1" applyBorder="1" applyAlignment="1">
      <alignment horizontal="center" vertical="center"/>
    </xf>
    <xf numFmtId="6" fontId="18" fillId="0" borderId="2" xfId="0" applyNumberFormat="1" applyFont="1" applyBorder="1" applyAlignment="1">
      <alignment horizontal="center" vertical="center"/>
    </xf>
    <xf numFmtId="165" fontId="0" fillId="0" borderId="2" xfId="1" applyNumberFormat="1" applyFont="1" applyBorder="1" applyAlignment="1">
      <alignment horizontal="center" vertical="center"/>
    </xf>
    <xf numFmtId="166" fontId="0" fillId="0" borderId="7" xfId="1" applyNumberFormat="1" applyFont="1" applyBorder="1" applyAlignment="1">
      <alignment horizontal="center" vertical="center"/>
    </xf>
    <xf numFmtId="0" fontId="18" fillId="0" borderId="8" xfId="0" applyFont="1" applyBorder="1" applyAlignment="1">
      <alignment horizontal="center" vertical="center"/>
    </xf>
    <xf numFmtId="6" fontId="18" fillId="0" borderId="9" xfId="0" applyNumberFormat="1" applyFont="1" applyBorder="1" applyAlignment="1">
      <alignment horizontal="center" vertical="center"/>
    </xf>
    <xf numFmtId="165" fontId="0" fillId="0" borderId="9" xfId="1" applyNumberFormat="1" applyFont="1" applyBorder="1" applyAlignment="1">
      <alignment horizontal="center" vertical="center"/>
    </xf>
    <xf numFmtId="166" fontId="0" fillId="0" borderId="10" xfId="1" applyNumberFormat="1" applyFont="1" applyBorder="1" applyAlignment="1">
      <alignment horizontal="center" vertical="center"/>
    </xf>
    <xf numFmtId="0" fontId="14" fillId="7" borderId="0" xfId="0" applyFont="1" applyFill="1" applyAlignment="1">
      <alignment wrapText="1"/>
    </xf>
    <xf numFmtId="0" fontId="0" fillId="7" borderId="0" xfId="0" applyFill="1"/>
    <xf numFmtId="0" fontId="0" fillId="7" borderId="0" xfId="0" applyFill="1" applyAlignment="1">
      <alignment horizontal="center" vertical="center"/>
    </xf>
    <xf numFmtId="0" fontId="23" fillId="7" borderId="0" xfId="0" applyFont="1" applyFill="1" applyAlignment="1">
      <alignment vertical="center"/>
    </xf>
    <xf numFmtId="0" fontId="10" fillId="7" borderId="0" xfId="0" applyFont="1" applyFill="1" applyAlignment="1">
      <alignment horizontal="center"/>
    </xf>
    <xf numFmtId="0" fontId="34" fillId="7" borderId="0" xfId="0" applyFont="1" applyFill="1"/>
    <xf numFmtId="0" fontId="0" fillId="7" borderId="6" xfId="0" applyFill="1" applyBorder="1"/>
    <xf numFmtId="0" fontId="25" fillId="7" borderId="7" xfId="2" applyFont="1" applyFill="1" applyBorder="1"/>
    <xf numFmtId="0" fontId="0" fillId="7" borderId="8" xfId="0" applyFill="1" applyBorder="1"/>
    <xf numFmtId="0" fontId="25" fillId="7" borderId="10" xfId="2" applyFont="1" applyFill="1" applyBorder="1"/>
    <xf numFmtId="0" fontId="27" fillId="0" borderId="6" xfId="0" applyFont="1" applyBorder="1" applyAlignment="1">
      <alignment horizontal="left" vertical="center"/>
    </xf>
    <xf numFmtId="0" fontId="27" fillId="0" borderId="8" xfId="0" applyFont="1" applyBorder="1" applyAlignment="1">
      <alignment horizontal="left" vertical="center"/>
    </xf>
    <xf numFmtId="0" fontId="7" fillId="0" borderId="3" xfId="0" applyFont="1" applyBorder="1" applyAlignment="1">
      <alignment horizontal="left" vertical="center"/>
    </xf>
    <xf numFmtId="0" fontId="7" fillId="2" borderId="4" xfId="0" applyFont="1" applyFill="1" applyBorder="1" applyAlignment="1">
      <alignment horizontal="center" vertic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165" fontId="27" fillId="0" borderId="2" xfId="1" applyNumberFormat="1" applyFont="1" applyBorder="1" applyAlignment="1">
      <alignment horizontal="center" vertical="center"/>
    </xf>
    <xf numFmtId="165" fontId="9" fillId="7" borderId="0" xfId="1" applyNumberFormat="1" applyFont="1" applyFill="1" applyAlignment="1">
      <alignment horizontal="left" vertical="center"/>
    </xf>
    <xf numFmtId="0" fontId="35" fillId="7" borderId="0" xfId="0" applyFont="1" applyFill="1" applyAlignment="1">
      <alignment horizontal="left" vertical="center"/>
    </xf>
    <xf numFmtId="0" fontId="0" fillId="4" borderId="6" xfId="0" applyFill="1" applyBorder="1" applyAlignment="1">
      <alignment horizontal="left"/>
    </xf>
    <xf numFmtId="0" fontId="0" fillId="4" borderId="2" xfId="0" applyFill="1" applyBorder="1" applyAlignment="1">
      <alignment horizontal="center"/>
    </xf>
    <xf numFmtId="0" fontId="0" fillId="7" borderId="2" xfId="0" applyFill="1" applyBorder="1" applyAlignment="1">
      <alignment horizontal="left"/>
    </xf>
    <xf numFmtId="166" fontId="0" fillId="7" borderId="2" xfId="0" applyNumberFormat="1" applyFill="1" applyBorder="1"/>
    <xf numFmtId="2" fontId="0" fillId="7" borderId="2" xfId="0" applyNumberFormat="1" applyFill="1" applyBorder="1"/>
    <xf numFmtId="0" fontId="10" fillId="8" borderId="0" xfId="0" applyFont="1" applyFill="1" applyAlignment="1">
      <alignment vertical="center"/>
    </xf>
    <xf numFmtId="0" fontId="0" fillId="8" borderId="0" xfId="0" applyFill="1"/>
    <xf numFmtId="0" fontId="24" fillId="8" borderId="0" xfId="0" applyFont="1" applyFill="1"/>
    <xf numFmtId="0" fontId="8" fillId="8" borderId="0" xfId="0" applyFont="1" applyFill="1" applyAlignment="1">
      <alignment horizontal="left"/>
    </xf>
    <xf numFmtId="0" fontId="7" fillId="9" borderId="3" xfId="0" applyFont="1" applyFill="1" applyBorder="1" applyAlignment="1">
      <alignment horizontal="left"/>
    </xf>
    <xf numFmtId="0" fontId="7" fillId="9" borderId="5" xfId="0" applyFont="1" applyFill="1" applyBorder="1" applyAlignment="1">
      <alignment horizontal="left"/>
    </xf>
    <xf numFmtId="0" fontId="36" fillId="8" borderId="0" xfId="0" applyFont="1" applyFill="1" applyAlignment="1">
      <alignment vertical="center"/>
    </xf>
    <xf numFmtId="0" fontId="12" fillId="7" borderId="0" xfId="0" applyFont="1" applyFill="1"/>
    <xf numFmtId="0" fontId="33" fillId="10" borderId="2" xfId="0" applyFont="1" applyFill="1" applyBorder="1" applyAlignment="1">
      <alignment horizontal="center" vertical="center"/>
    </xf>
    <xf numFmtId="0" fontId="37" fillId="6" borderId="3" xfId="0" applyFont="1" applyFill="1" applyBorder="1" applyAlignment="1">
      <alignment horizontal="center" vertical="center"/>
    </xf>
    <xf numFmtId="0" fontId="37" fillId="6" borderId="4" xfId="0" applyFont="1" applyFill="1" applyBorder="1" applyAlignment="1">
      <alignment horizontal="center" vertical="center"/>
    </xf>
    <xf numFmtId="0" fontId="37" fillId="6" borderId="5" xfId="0" applyFont="1" applyFill="1" applyBorder="1" applyAlignment="1">
      <alignment horizontal="center" vertical="center"/>
    </xf>
    <xf numFmtId="0" fontId="29" fillId="0" borderId="2" xfId="3" applyNumberFormat="1" applyFont="1" applyBorder="1" applyAlignment="1">
      <alignment horizontal="center" vertical="center"/>
    </xf>
    <xf numFmtId="37" fontId="30" fillId="0" borderId="7" xfId="3" applyNumberFormat="1" applyFont="1" applyBorder="1" applyAlignment="1">
      <alignment horizontal="center" vertical="center"/>
    </xf>
    <xf numFmtId="37" fontId="30" fillId="0" borderId="10" xfId="3" applyNumberFormat="1" applyFont="1" applyBorder="1" applyAlignment="1">
      <alignment horizontal="center" vertical="center"/>
    </xf>
    <xf numFmtId="1" fontId="30" fillId="0" borderId="2" xfId="3" applyNumberFormat="1" applyFont="1" applyBorder="1" applyAlignment="1">
      <alignment horizontal="center" vertical="center"/>
    </xf>
    <xf numFmtId="1" fontId="30" fillId="0" borderId="9" xfId="3" applyNumberFormat="1" applyFont="1" applyBorder="1" applyAlignment="1">
      <alignment horizontal="center" vertical="center"/>
    </xf>
    <xf numFmtId="37" fontId="29" fillId="0" borderId="2" xfId="3" applyNumberFormat="1" applyFont="1" applyBorder="1" applyAlignment="1">
      <alignment horizontal="center" vertical="center"/>
    </xf>
    <xf numFmtId="0" fontId="24" fillId="3" borderId="2" xfId="0" applyFont="1" applyFill="1" applyBorder="1" applyAlignment="1">
      <alignment horizontal="center" vertical="center"/>
    </xf>
    <xf numFmtId="0" fontId="24" fillId="3" borderId="2" xfId="0" applyFont="1" applyFill="1" applyBorder="1" applyAlignment="1">
      <alignment horizontal="center"/>
    </xf>
    <xf numFmtId="0" fontId="7" fillId="11" borderId="2" xfId="1" applyNumberFormat="1" applyFont="1" applyFill="1" applyBorder="1" applyAlignment="1">
      <alignment horizontal="center" vertical="center"/>
    </xf>
    <xf numFmtId="0" fontId="42" fillId="7" borderId="0" xfId="0" applyFont="1" applyFill="1" applyAlignment="1">
      <alignment vertical="center"/>
    </xf>
    <xf numFmtId="0" fontId="0" fillId="4" borderId="7" xfId="0" applyFill="1" applyBorder="1" applyAlignment="1">
      <alignment horizontal="center"/>
    </xf>
    <xf numFmtId="0" fontId="44" fillId="0" borderId="2" xfId="0" applyFont="1" applyBorder="1" applyAlignment="1">
      <alignment horizontal="center" vertical="center"/>
    </xf>
    <xf numFmtId="37" fontId="44" fillId="0" borderId="2" xfId="3" applyNumberFormat="1" applyFont="1" applyBorder="1" applyAlignment="1">
      <alignment horizontal="center" vertical="center"/>
    </xf>
    <xf numFmtId="1" fontId="44" fillId="0" borderId="2" xfId="3" applyNumberFormat="1" applyFont="1" applyBorder="1" applyAlignment="1">
      <alignment horizontal="center" vertical="center"/>
    </xf>
    <xf numFmtId="37" fontId="44" fillId="0" borderId="7" xfId="3" applyNumberFormat="1" applyFont="1" applyBorder="1" applyAlignment="1">
      <alignment horizontal="center" vertical="center"/>
    </xf>
    <xf numFmtId="0" fontId="45" fillId="7" borderId="0" xfId="0" applyFont="1" applyFill="1"/>
    <xf numFmtId="0" fontId="44" fillId="12" borderId="6" xfId="0" applyFont="1" applyFill="1" applyBorder="1" applyAlignment="1">
      <alignment horizontal="left" vertical="center"/>
    </xf>
    <xf numFmtId="0" fontId="7" fillId="12" borderId="2" xfId="1" applyNumberFormat="1" applyFont="1" applyFill="1" applyBorder="1" applyAlignment="1">
      <alignment horizontal="center" vertical="center"/>
    </xf>
    <xf numFmtId="0" fontId="0" fillId="0" borderId="6" xfId="0" applyBorder="1" applyAlignment="1">
      <alignment horizontal="left"/>
    </xf>
    <xf numFmtId="0" fontId="0" fillId="0" borderId="2" xfId="0" applyBorder="1" applyAlignment="1">
      <alignment horizontal="center"/>
    </xf>
    <xf numFmtId="0" fontId="0" fillId="0" borderId="7" xfId="0" applyBorder="1" applyAlignment="1">
      <alignment horizontal="center"/>
    </xf>
    <xf numFmtId="0" fontId="0" fillId="0" borderId="8" xfId="0" applyBorder="1" applyAlignment="1">
      <alignment horizontal="left"/>
    </xf>
    <xf numFmtId="0" fontId="0" fillId="0" borderId="9" xfId="0" applyBorder="1" applyAlignment="1">
      <alignment horizontal="center"/>
    </xf>
    <xf numFmtId="0" fontId="0" fillId="0" borderId="10" xfId="0" applyBorder="1" applyAlignment="1">
      <alignment horizontal="center"/>
    </xf>
    <xf numFmtId="37" fontId="29" fillId="0" borderId="9" xfId="3" applyNumberFormat="1" applyFont="1" applyBorder="1" applyAlignment="1">
      <alignment horizontal="center" vertical="center"/>
    </xf>
    <xf numFmtId="0" fontId="29" fillId="0" borderId="2" xfId="0" applyFont="1" applyBorder="1" applyAlignment="1">
      <alignment horizontal="right" vertical="center"/>
    </xf>
    <xf numFmtId="0" fontId="34" fillId="0" borderId="0" xfId="0" applyFont="1" applyAlignment="1">
      <alignment horizontal="center" vertical="center"/>
    </xf>
    <xf numFmtId="0" fontId="41" fillId="7" borderId="0" xfId="0" applyFont="1" applyFill="1" applyAlignment="1">
      <alignment horizontal="center"/>
    </xf>
    <xf numFmtId="0" fontId="42" fillId="7" borderId="0" xfId="0" applyFont="1" applyFill="1" applyAlignment="1">
      <alignment horizontal="center" vertical="center"/>
    </xf>
    <xf numFmtId="0" fontId="11" fillId="0" borderId="0" xfId="0" applyFont="1" applyAlignment="1">
      <alignment horizontal="center" vertical="center"/>
    </xf>
    <xf numFmtId="0" fontId="9" fillId="0" borderId="0" xfId="0" applyFont="1" applyAlignment="1">
      <alignment horizontal="center" vertical="center"/>
    </xf>
    <xf numFmtId="0" fontId="15" fillId="0" borderId="0" xfId="0" applyFont="1" applyAlignment="1">
      <alignment horizontal="center" vertical="center"/>
    </xf>
    <xf numFmtId="0" fontId="12" fillId="0" borderId="0" xfId="0" applyFont="1" applyAlignment="1">
      <alignment horizontal="center" vertical="center"/>
    </xf>
  </cellXfs>
  <cellStyles count="4">
    <cellStyle name="Comma" xfId="3" builtinId="3"/>
    <cellStyle name="Currency" xfId="1" builtinId="4"/>
    <cellStyle name="Hyperlink" xfId="2" builtinId="8"/>
    <cellStyle name="Normal" xfId="0" builtinId="0"/>
  </cellStyles>
  <dxfs count="1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0" formatCode="General"/>
    </dxf>
    <dxf>
      <numFmt numFmtId="0" formatCode="Genera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numFmt numFmtId="166" formatCode="&quot;$&quot;#,##0"/>
    </dxf>
    <dxf>
      <font>
        <b/>
        <i val="0"/>
        <strike val="0"/>
        <condense val="0"/>
        <extend val="0"/>
        <outline val="0"/>
        <shadow val="0"/>
        <u val="none"/>
        <vertAlign val="baseline"/>
        <sz val="14"/>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center" vertical="center" textRotation="0" wrapText="0" indent="0" justifyLastLine="0" shrinkToFit="0" readingOrder="0"/>
      <border diagonalUp="0" diagonalDown="0" outline="0">
        <left style="medium">
          <color rgb="FFCFCFCF"/>
        </left>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left" vertical="bottom" textRotation="0" wrapText="0" indent="0" justifyLastLine="0" shrinkToFit="0" readingOrder="0"/>
      <border diagonalUp="0" diagonalDown="0" outline="0">
        <left/>
        <right style="medium">
          <color rgb="FFCFCFCF"/>
        </right>
        <top style="medium">
          <color rgb="FFCFCFCF"/>
        </top>
        <bottom style="medium">
          <color rgb="FFCFCFCF"/>
        </bottom>
      </border>
    </dxf>
    <dxf>
      <border outline="0">
        <top style="medium">
          <color rgb="FFCFCFCF"/>
        </top>
      </border>
    </dxf>
    <dxf>
      <border outline="0">
        <top style="medium">
          <color rgb="FFD6D6D6"/>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dxf>
    <dxf>
      <border outline="0">
        <bottom style="medium">
          <color rgb="FFD6D6D6"/>
        </bottom>
      </border>
    </dxf>
    <dxf>
      <font>
        <b/>
        <i val="0"/>
        <strike val="0"/>
        <condense val="0"/>
        <extend val="0"/>
        <outline val="0"/>
        <shadow val="0"/>
        <u val="none"/>
        <vertAlign val="baseline"/>
        <sz val="14"/>
        <color theme="0"/>
        <name val="Arial"/>
        <family val="2"/>
        <scheme val="none"/>
      </font>
      <alignment horizontal="center" vertical="bottom" textRotation="0" wrapText="0" indent="0" justifyLastLine="0" shrinkToFit="0" readingOrder="0"/>
    </dxf>
    <dxf>
      <numFmt numFmtId="164" formatCode="_(* #,##0_);_(* \(#,##0\);_(* &quot;-&quot;??_);_(@_)"/>
    </dxf>
    <dxf>
      <numFmt numFmtId="164" formatCode="_(* #,##0_);_(* \(#,##0\);_(* &quot;-&quot;??_);_(@_)"/>
    </dxf>
    <dxf>
      <numFmt numFmtId="164" formatCode="_(* #,##0_);_(* \(#,##0\);_(* &quot;-&quot;??_);_(@_)"/>
    </dxf>
    <dxf>
      <numFmt numFmtId="164" formatCode="_(* #,##0_);_(* \(#,##0\);_(* &quot;-&quot;??_);_(@_)"/>
    </dxf>
    <dxf>
      <font>
        <sz val="16"/>
      </font>
    </dxf>
    <dxf>
      <font>
        <sz val="16"/>
      </font>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alignment horizontal="center"/>
    </dxf>
    <dxf>
      <alignment horizontal="center"/>
    </dxf>
    <dxf>
      <fill>
        <patternFill>
          <bgColor theme="8" tint="0.79998168889431442"/>
        </patternFill>
      </fill>
    </dxf>
    <dxf>
      <fill>
        <patternFill>
          <bgColor theme="8" tint="0.79998168889431442"/>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sz val="14"/>
      </font>
    </dxf>
    <dxf>
      <font>
        <sz val="16"/>
      </font>
    </dxf>
    <dxf>
      <font>
        <sz val="16"/>
      </font>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sz val="14"/>
      </font>
    </dxf>
    <dxf>
      <alignment horizontal="center"/>
    </dxf>
    <dxf>
      <alignment horizontal="center"/>
    </dxf>
    <dxf>
      <alignment vertical="center"/>
    </dxf>
    <dxf>
      <alignment vertical="center"/>
    </dxf>
    <dxf>
      <font>
        <b val="0"/>
        <i val="0"/>
        <strike val="0"/>
        <condense val="0"/>
        <extend val="0"/>
        <outline val="0"/>
        <shadow val="0"/>
        <u val="none"/>
        <vertAlign val="baseline"/>
        <sz val="12"/>
        <color rgb="FF333333"/>
        <name val="Arial"/>
        <family val="2"/>
        <scheme val="none"/>
      </font>
      <numFmt numFmtId="166" formatCode="&quot;$&quot;#,##0"/>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numFmt numFmtId="10" formatCode="&quot;$&quot;#,##0_);[Red]\(&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numFmt numFmtId="165"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numFmt numFmtId="10" formatCode="&quot;$&quot;#,##0_);[Red]\(&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6"/>
        <color theme="0"/>
        <name val="Arial"/>
        <family val="2"/>
        <scheme val="none"/>
      </font>
      <fill>
        <patternFill patternType="solid">
          <fgColor indexed="64"/>
          <bgColor rgb="FFFFC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14"/>
        <color theme="1"/>
        <name val="Aptos Narrow"/>
        <scheme val="minor"/>
      </font>
      <numFmt numFmtId="5" formatCode="#,##0_);\(#,##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strike val="0"/>
        <outline val="0"/>
        <shadow val="0"/>
        <u val="none"/>
        <vertAlign val="baseline"/>
        <sz val="14"/>
        <color theme="1"/>
        <name val="Aptos Narrow"/>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Aptos Narrow"/>
        <scheme val="minor"/>
      </font>
      <numFmt numFmtId="164" formatCode="_(* #,##0_);_(* \(#,##0\);_(* &quot;-&quot;??_);_(@_)"/>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4"/>
        <color theme="1"/>
        <name val="Aptos Narrow"/>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vertical="center" textRotation="0" wrapText="0" indent="0" justifyLastLine="0" shrinkToFit="0" readingOrder="0"/>
    </dxf>
    <dxf>
      <border>
        <bottom style="thin">
          <color indexed="64"/>
        </bottom>
      </border>
    </dxf>
    <dxf>
      <font>
        <b/>
        <i val="0"/>
        <strike val="0"/>
        <condense val="0"/>
        <extend val="0"/>
        <outline val="0"/>
        <shadow val="0"/>
        <u val="none"/>
        <vertAlign val="baseline"/>
        <sz val="16"/>
        <color theme="1"/>
        <name val="Aptos Narrow"/>
        <scheme val="minor"/>
      </font>
      <fill>
        <patternFill patternType="solid">
          <fgColor indexed="64"/>
          <bgColor theme="1" tint="0.49998474074526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strike val="0"/>
        <outline val="0"/>
        <shadow val="0"/>
        <u val="none"/>
        <vertAlign val="baseline"/>
        <sz val="12"/>
        <color theme="1"/>
        <name val="Aptos Narrow"/>
        <family val="2"/>
        <scheme val="minor"/>
      </font>
      <fill>
        <patternFill patternType="none">
          <fgColor indexed="64"/>
          <bgColor indexed="65"/>
        </patternFill>
      </fill>
      <alignment horizontal="left"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Aptos Narrow"/>
        <family val="2"/>
        <scheme val="minor"/>
      </font>
      <fill>
        <patternFill patternType="none">
          <fgColor indexed="64"/>
          <bgColor indexed="65"/>
        </patternFill>
      </fill>
      <alignment horizontal="center" textRotation="0" wrapText="0" indent="0" justifyLastLine="0" shrinkToFit="0" readingOrder="0"/>
    </dxf>
    <dxf>
      <border>
        <bottom style="thin">
          <color indexed="64"/>
        </bottom>
      </border>
    </dxf>
    <dxf>
      <font>
        <strike val="0"/>
        <outline val="0"/>
        <shadow val="0"/>
        <u val="none"/>
        <vertAlign val="baseline"/>
        <sz val="14"/>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ertAlign val="baseline"/>
        <sz val="14"/>
        <color theme="10"/>
        <name val="Aptos Narrow"/>
        <family val="2"/>
        <scheme val="minor"/>
      </font>
      <fill>
        <patternFill patternType="solid">
          <fgColor indexed="64"/>
          <bgColor theme="0"/>
        </patternFill>
      </fill>
      <border diagonalUp="0" diagonalDown="0" outline="0">
        <left style="thin">
          <color indexed="64"/>
        </left>
        <right/>
        <top style="thin">
          <color indexed="64"/>
        </top>
        <bottom style="thin">
          <color indexed="64"/>
        </bottom>
      </border>
    </dxf>
    <dxf>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4"/>
        <color theme="1"/>
        <name val="Aptos Narrow"/>
        <family val="2"/>
        <scheme val="minor"/>
      </font>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EE28F"/>
      <color rgb="FFF2E288"/>
      <color rgb="FFFFC8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[states_analysis_dashboards.xlsm]Income Comparision!PivotTable11</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1 Earner Median Income 2012 - 2023</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 Comparision'!$G$5</c:f>
              <c:strCache>
                <c:ptCount val="1"/>
                <c:pt idx="0">
                  <c:v>2012 Income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'Income Comparision'!$F$6</c:f>
              <c:strCache>
                <c:ptCount val="1"/>
                <c:pt idx="0">
                  <c:v>Maryland</c:v>
                </c:pt>
              </c:strCache>
            </c:strRef>
          </c:cat>
          <c:val>
            <c:numRef>
              <c:f>'Income Comparision'!$G$6</c:f>
              <c:numCache>
                <c:formatCode>"$"#,##0</c:formatCode>
                <c:ptCount val="1"/>
                <c:pt idx="0">
                  <c:v>78711</c:v>
                </c:pt>
              </c:numCache>
            </c:numRef>
          </c:val>
          <c:extLst>
            <c:ext xmlns:c16="http://schemas.microsoft.com/office/drawing/2014/chart" uri="{C3380CC4-5D6E-409C-BE32-E72D297353CC}">
              <c16:uniqueId val="{00000000-1877-4C6C-9A64-627473688BE0}"/>
            </c:ext>
          </c:extLst>
        </c:ser>
        <c:ser>
          <c:idx val="1"/>
          <c:order val="1"/>
          <c:tx>
            <c:strRef>
              <c:f>'Income Comparision'!$H$5</c:f>
              <c:strCache>
                <c:ptCount val="1"/>
                <c:pt idx="0">
                  <c:v>2018 Income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'Income Comparision'!$F$6</c:f>
              <c:strCache>
                <c:ptCount val="1"/>
                <c:pt idx="0">
                  <c:v>Maryland</c:v>
                </c:pt>
              </c:strCache>
            </c:strRef>
          </c:cat>
          <c:val>
            <c:numRef>
              <c:f>'Income Comparision'!$H$6</c:f>
              <c:numCache>
                <c:formatCode>"$"#,##0</c:formatCode>
                <c:ptCount val="1"/>
                <c:pt idx="0">
                  <c:v>86223</c:v>
                </c:pt>
              </c:numCache>
            </c:numRef>
          </c:val>
          <c:extLst>
            <c:ext xmlns:c16="http://schemas.microsoft.com/office/drawing/2014/chart" uri="{C3380CC4-5D6E-409C-BE32-E72D297353CC}">
              <c16:uniqueId val="{00000001-1877-4C6C-9A64-627473688BE0}"/>
            </c:ext>
          </c:extLst>
        </c:ser>
        <c:ser>
          <c:idx val="2"/>
          <c:order val="2"/>
          <c:tx>
            <c:strRef>
              <c:f>'Income Comparision'!$I$5</c:f>
              <c:strCache>
                <c:ptCount val="1"/>
                <c:pt idx="0">
                  <c:v>2023 Income</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'Income Comparision'!$F$6</c:f>
              <c:strCache>
                <c:ptCount val="1"/>
                <c:pt idx="0">
                  <c:v>Maryland</c:v>
                </c:pt>
              </c:strCache>
            </c:strRef>
          </c:cat>
          <c:val>
            <c:numRef>
              <c:f>'Income Comparision'!$I$6</c:f>
              <c:numCache>
                <c:formatCode>"$"#,##0</c:formatCode>
                <c:ptCount val="1"/>
                <c:pt idx="0">
                  <c:v>80002</c:v>
                </c:pt>
              </c:numCache>
            </c:numRef>
          </c:val>
          <c:extLst>
            <c:ext xmlns:c16="http://schemas.microsoft.com/office/drawing/2014/chart" uri="{C3380CC4-5D6E-409C-BE32-E72D297353CC}">
              <c16:uniqueId val="{00000002-1877-4C6C-9A64-627473688BE0}"/>
            </c:ext>
          </c:extLst>
        </c:ser>
        <c:dLbls>
          <c:dLblPos val="inEnd"/>
          <c:showLegendKey val="0"/>
          <c:showVal val="1"/>
          <c:showCatName val="0"/>
          <c:showSerName val="0"/>
          <c:showPercent val="0"/>
          <c:showBubbleSize val="0"/>
        </c:dLbls>
        <c:gapWidth val="75"/>
        <c:overlap val="-25"/>
        <c:axId val="807835695"/>
        <c:axId val="697283775"/>
      </c:barChart>
      <c:catAx>
        <c:axId val="80783569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0" i="0" u="none" strike="noStrike" kern="1200" cap="all" baseline="0">
                <a:solidFill>
                  <a:schemeClr val="dk1">
                    <a:lumMod val="75000"/>
                    <a:lumOff val="25000"/>
                  </a:schemeClr>
                </a:solidFill>
                <a:latin typeface="+mn-lt"/>
                <a:ea typeface="+mn-ea"/>
                <a:cs typeface="+mn-cs"/>
              </a:defRPr>
            </a:pPr>
            <a:endParaRPr lang="en-US"/>
          </a:p>
        </c:txPr>
        <c:crossAx val="697283775"/>
        <c:crosses val="autoZero"/>
        <c:auto val="1"/>
        <c:lblAlgn val="ctr"/>
        <c:lblOffset val="100"/>
        <c:noMultiLvlLbl val="0"/>
      </c:catAx>
      <c:valAx>
        <c:axId val="697283775"/>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0783569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[states_analysis_dashboards.xlsm]Unemployment Comparision!Unemp_Rate</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a:t>Unemployment Rate 2020 - 2023</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lumMod val="75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4"/>
        <c:spPr>
          <a:solidFill>
            <a:srgbClr val="FFC000">
              <a:alpha val="85000"/>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3">
              <a:lumMod val="60000"/>
              <a:lumOff val="40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'Unemployment Comparision'!$G$5</c:f>
              <c:strCache>
                <c:ptCount val="1"/>
                <c:pt idx="0">
                  <c:v>2020 Rate</c:v>
                </c:pt>
              </c:strCache>
            </c:strRef>
          </c:tx>
          <c:spPr>
            <a:solidFill>
              <a:schemeClr val="accent1">
                <a:lumMod val="75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Comparision'!$G$6:$G$8</c:f>
              <c:numCache>
                <c:formatCode>0.00</c:formatCode>
                <c:ptCount val="3"/>
                <c:pt idx="0">
                  <c:v>8</c:v>
                </c:pt>
                <c:pt idx="1">
                  <c:v>7.5</c:v>
                </c:pt>
                <c:pt idx="2">
                  <c:v>9.3000000000000007</c:v>
                </c:pt>
              </c:numCache>
            </c:numRef>
          </c:val>
          <c:extLst>
            <c:ext xmlns:c16="http://schemas.microsoft.com/office/drawing/2014/chart" uri="{C3380CC4-5D6E-409C-BE32-E72D297353CC}">
              <c16:uniqueId val="{00000000-F8BC-2247-A661-43252ABC675B}"/>
            </c:ext>
          </c:extLst>
        </c:ser>
        <c:ser>
          <c:idx val="1"/>
          <c:order val="1"/>
          <c:tx>
            <c:strRef>
              <c:f>'Unemployment Comparision'!$H$5</c:f>
              <c:strCache>
                <c:ptCount val="1"/>
                <c:pt idx="0">
                  <c:v>2021 Rate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Comparision'!$H$6:$H$8</c:f>
              <c:numCache>
                <c:formatCode>0.00</c:formatCode>
                <c:ptCount val="3"/>
                <c:pt idx="0">
                  <c:v>6.4</c:v>
                </c:pt>
                <c:pt idx="1">
                  <c:v>5.5</c:v>
                </c:pt>
                <c:pt idx="2">
                  <c:v>6.1</c:v>
                </c:pt>
              </c:numCache>
            </c:numRef>
          </c:val>
          <c:extLst>
            <c:ext xmlns:c16="http://schemas.microsoft.com/office/drawing/2014/chart" uri="{C3380CC4-5D6E-409C-BE32-E72D297353CC}">
              <c16:uniqueId val="{00000001-F8BC-2247-A661-43252ABC675B}"/>
            </c:ext>
          </c:extLst>
        </c:ser>
        <c:ser>
          <c:idx val="2"/>
          <c:order val="2"/>
          <c:tx>
            <c:strRef>
              <c:f>'Unemployment Comparision'!$I$5</c:f>
              <c:strCache>
                <c:ptCount val="1"/>
                <c:pt idx="0">
                  <c:v>2022 Rate</c:v>
                </c:pt>
              </c:strCache>
            </c:strRef>
          </c:tx>
          <c:spPr>
            <a:solidFill>
              <a:srgbClr val="FFC000">
                <a:alpha val="85000"/>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Comparision'!$I$6:$I$8</c:f>
              <c:numCache>
                <c:formatCode>0.00</c:formatCode>
                <c:ptCount val="3"/>
                <c:pt idx="0">
                  <c:v>4.0999999999999996</c:v>
                </c:pt>
                <c:pt idx="1">
                  <c:v>4.3</c:v>
                </c:pt>
                <c:pt idx="2">
                  <c:v>4.5999999999999996</c:v>
                </c:pt>
              </c:numCache>
            </c:numRef>
          </c:val>
          <c:extLst>
            <c:ext xmlns:c16="http://schemas.microsoft.com/office/drawing/2014/chart" uri="{C3380CC4-5D6E-409C-BE32-E72D297353CC}">
              <c16:uniqueId val="{00000002-F8BC-2247-A661-43252ABC675B}"/>
            </c:ext>
          </c:extLst>
        </c:ser>
        <c:ser>
          <c:idx val="3"/>
          <c:order val="3"/>
          <c:tx>
            <c:strRef>
              <c:f>'Unemployment Comparision'!$J$5</c:f>
              <c:strCache>
                <c:ptCount val="1"/>
                <c:pt idx="0">
                  <c:v>2023 Rate</c:v>
                </c:pt>
              </c:strCache>
            </c:strRef>
          </c:tx>
          <c:spPr>
            <a:solidFill>
              <a:schemeClr val="accent3">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Comparision'!$J$6:$J$8</c:f>
              <c:numCache>
                <c:formatCode>0.00</c:formatCode>
                <c:ptCount val="3"/>
                <c:pt idx="0">
                  <c:v>3.8</c:v>
                </c:pt>
                <c:pt idx="1">
                  <c:v>4</c:v>
                </c:pt>
                <c:pt idx="2">
                  <c:v>4.5</c:v>
                </c:pt>
              </c:numCache>
            </c:numRef>
          </c:val>
          <c:extLst>
            <c:ext xmlns:c16="http://schemas.microsoft.com/office/drawing/2014/chart" uri="{C3380CC4-5D6E-409C-BE32-E72D297353CC}">
              <c16:uniqueId val="{00000003-F8BC-2247-A661-43252ABC675B}"/>
            </c:ext>
          </c:extLst>
        </c:ser>
        <c:dLbls>
          <c:dLblPos val="inEnd"/>
          <c:showLegendKey val="0"/>
          <c:showVal val="1"/>
          <c:showCatName val="0"/>
          <c:showSerName val="0"/>
          <c:showPercent val="0"/>
          <c:showBubbleSize val="0"/>
        </c:dLbls>
        <c:gapWidth val="65"/>
        <c:axId val="1413390176"/>
        <c:axId val="1413391888"/>
      </c:barChart>
      <c:catAx>
        <c:axId val="141339017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dk1">
                    <a:lumMod val="75000"/>
                    <a:lumOff val="25000"/>
                  </a:schemeClr>
                </a:solidFill>
                <a:latin typeface="+mn-lt"/>
                <a:ea typeface="+mn-ea"/>
                <a:cs typeface="+mn-cs"/>
              </a:defRPr>
            </a:pPr>
            <a:endParaRPr lang="en-US"/>
          </a:p>
        </c:txPr>
        <c:crossAx val="1413391888"/>
        <c:crosses val="autoZero"/>
        <c:auto val="1"/>
        <c:lblAlgn val="ctr"/>
        <c:lblOffset val="100"/>
        <c:noMultiLvlLbl val="0"/>
      </c:catAx>
      <c:valAx>
        <c:axId val="141339188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a:t>Unemployment Rate (%)</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1339017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1">
      <cx:tx>
        <cx:txData>
          <cx:v>Cost of Living Rank Map</cx:v>
        </cx:txData>
      </cx:tx>
      <cx:txPr>
        <a:bodyPr spcFirstLastPara="1" vertOverflow="ellipsis" horzOverflow="overflow" wrap="square" lIns="0" tIns="0" rIns="0" bIns="0" anchor="ctr" anchorCtr="1"/>
        <a:lstStyle/>
        <a:p>
          <a:pPr algn="ctr" rtl="0">
            <a:defRPr sz="2400" b="1"/>
          </a:pPr>
          <a:r>
            <a:rPr lang="en-US" sz="2400" b="1" i="0" u="none" strike="noStrike" baseline="0">
              <a:solidFill>
                <a:sysClr val="windowText" lastClr="000000">
                  <a:lumMod val="65000"/>
                  <a:lumOff val="35000"/>
                </a:sysClr>
              </a:solidFill>
              <a:latin typeface="Aptos Narrow" panose="02110004020202020204"/>
            </a:rPr>
            <a:t>Cost of Living Rank Map</a:t>
          </a:r>
        </a:p>
      </cx:txPr>
    </cx:title>
    <cx:plotArea>
      <cx:plotAreaRegion>
        <cx:series layoutId="regionMap" uniqueId="{E1ADCF63-256B-A942-9FDE-700FE8FF0E72}">
          <cx:tx>
            <cx:txData>
              <cx:f>_xlchart.v5.6</cx:f>
              <cx:v>Rank</cx:v>
            </cx:txData>
          </cx:tx>
          <cx:dataLabels>
            <cx:visibility seriesName="0" categoryName="0" value="1"/>
          </cx:dataLabels>
          <cx:dataId val="0"/>
          <cx:layoutPr>
            <cx:geography cultureLanguage="en-US" cultureRegion="US" attribution="Powered by Bing">
              <cx:geoCache provider="{E9337A44-BEBE-4D9F-B70C-5C5E7DAFC167}">
                <cx:binary>7H1rc9u21u5fyeTzoQsQ9z1775mSlCxbtmM7jpvkC0e1HRK8k+AN/PXvUmwnNqsk7qnfOaOZo3ba
SSQIi3iwbs9agP59M/7rJrvbNG/GPCvMv27G/7yN27b612+/mZv4Lt+Yg1zfNKUpv7QHN2X+W/nl
i765++222Qy6iH5zEaa/3cSbpr0b3/733/Bt0V15Ut5sWl0WF91dYy/vTJe15ifv7XzrzeY210Wg
Tdvomxb/5+0f2tyUhdHF2zd3Ratbe2Wru/+8ffaxt29+m3/ZXyZ+k4FsbXcLYyk94EQpRjhS96+3
b7KyiB7edqQ6EMRVjCmCvr7I49xnmxzGv0ikrwJtbm+bO2Pgob7+/9nQZ08A7xy9fXNTdkW7XboI
VvE/bz8Uur27ffO+3bR35u0bbUr//gN+uX2MD++/Pvdvzxf/v/+e/QWsxOxvnuAzX7ZfvfVXeO5M
++ZaN5Eu9OZxmf45REQecOoyIbF7j5CYQYQOOCaCKIR3Q/RSsX4A0/Phc6iu9xOqjYlBd9vyNVVJ
HFCMCQAlduKEXXTAGKcS0Xug8OMeeVClF8n0A5CejJ0j9PteInS60cXd4wL9cyWi7IBQzikjbCc4
XB24mGOKBL1/nz7OfQ/OL8XZjcvDsBkkp4u9hOR/wbSJAwZWDUlFv5mup95HgOlTQkhK3fv32XNU
XiLRbmC+j5xhc70f6vJz9/g0Onj2yb8ZHRB1wBBYNMT4c5+j1AHCkoAh+65O95Peq8vMXf9Ynt3o
zIY/e4T9iAU+tJv4ca/+c+sFOBCXCImeLPdTPcEYH3AhXdflANQzIH4hxw/W/+uomWZ8uNpLq3V1
VxQQd969ojMh7EBSCMaQBES2L/e5dkgOzoa4jCL17f2noLxIpN3IPBk6g+fqbC/h8cusbDa35eO2
fQVlkQdKScbQo9OAOOuZsiB2wKiQhM9ymZeIshuV7yNnoPjv9hKU92XXxm+CTVq2m9cDBnJNSiDG
YuIHATJCBy5BVGE+i75eKs9udJ6PniH0PthLhI7K4TWRcQ8g8OVM0N1xmCIQByDEMXp4f+ZlfiXN
blzuR83wONqP+OuZ1EDNvIv1K5owiiCVZIxQJe4dCFiqpyZMugcCKcKki++zFfWopffh16+k2Y3H
/ahnTwYPttpL/TgHr29s1m9elYoBXKTiAkLf71TLU1yEOJBESkhZHtg0+RyXl0q1G5/no2c4ne+n
3pyVDXgaf9OUmS5e0aJBiMaIIkLhWWwm1AGWjEjO+b1qzUzZywXaDdJ8/AymM38v1ensbnhzejfq
m1c0cgTCAReIS0wfkJgZOYz4AUYSeE2Jn6vRy6T5AT5PnmSOzeleYnMf3vwvqBA5UIgowGi3sZNb
Y0gBHPzghGaa9HK5diM1Hz9D6/3+atJqk1fAPzevmJJScsAl4xiCgp0Rg8AHEHZz4Np2p6RblXqR
WLuxmg2fQXW2nzHE2V2/uX1NnwQsDvD/kN881NLArD2NHjDmBxyiPqi27SwQ/FqeH4Fz/xxzVK73
0tyd3f3ZbEz6irhQ0A1XgCcSD45oFjIA2QnxngDC54HumbHQL5HoR8g8Psscm8VeYnNaFu3mNcM4
Kg4QIQwrsTsxxUhBcRRqCJzMKIMXiLIbk28DZ5Cc7iv9OW7MY/j0CuQaPqCcSApe/97PzGwY6Aoh
0DAgtuqyfc0yoKu7X4izG5SHYTNIrj7upZaclJ02+lX1hKADtc1JIbN57lMUhiANQ2VAPmSkMzV5
kSy7MXkydIbLye97icup3lYKXpfy3FYCFKbk0XXM1YUeYCUJIi74nKclghfJshuXJ0NnuJzuZ4ng
MoYenzdHJtsUt4+r9M8tGXh97kpobZL3hmprqZ5GY9uIGUOBB9zL/QdAs54i9FKpdoP0fPQMp8v9
7H861cZs/60q/bhU/xwmAlSni6SQDygooDqfwgQNapxxF4o9Dy0Csyz0hULtRunZ4BlIp+/30sj9
3uipfM0QDWgcV4H9kvihc2bWnva1Nr1VIoDpa8gAJvCpHr1AoN3gfBs4A+b3z3sJzD1x+Oo1N2hK
g4ANWBro8vz6eq4+EDNAQLfFb3cl4aVS7Ybo+egZTmfBXuJ0lAFTXepXjKmhqoBdCnVR9r1qMDNx
mEoO5Z5HG/hcg14i0W58vo+cYXN0spfYrMGwdDepfVyfV3A/0KHmQgc05bPwQLIDV0KdB7TrXq9m
gfVLRNkNyveRM1DWn/YSlCU0eOjX5NFcecC2HJlL5rGAe0ClINSFiPrraxayvUCS3ZB8GzhDZLmf
avJ7k24K86q0AIU0E3Icgh9M1ExbFCBDFJS02W4K7SUS7Ybm+8gZNr9f7qW2rF8bGQk6QYGNAVv1
GH49dS5KHhAJBW1o87y3YxC+PQ3Pfi3Pblwex81QWe9n1BzcZZth85oFG2jpBLoGKjKP6z6zZYJB
XCY5JfghP52Rzi+RaDcy30fOsAn2k3T2S6Btblp907WPW/ef+/1tTUAwzIB83qk2AtJSIiHpcWe4
vFCa3dA8GzxDx7/aS3v2eHztTfnlDbRJdvmfr3w2SiHo5cRb+v+pWYNOHISh3Alc9c7w7O+KtRuv
3d8yAy7w9xK4d81d9KrHo6CdANpuII95CJhnBu/+eBTUFciMIPi1ILvBeRw3g+PdfsYFK/A/Wr+e
gcPAm0F3jUAECLOnmgNB2jbl2TZP39fcZnD8WpDdcDyOm8GxOtpL7fA3mf5SNq/aXUjEAZwZ4Fzh
hx6NWbEA+mwAMwGlavpA1jxuh/uuz5fJtBudp2NnCPm/7yVCp5vGvm7FAA7iqi0ZwGaWS3DoxoVj
bNArde9rZmnnSyTZjcr3kTNMToM9xcSYzU3cmbu2NY+b9xWCNfcA1IIIKnY31kAphyM4yEbkLLk5
3bxQnh/B82z4HKP91Jt3abaJy3zzevBse3HhrCCcL7gPpdHMring2KDPE6HHcyGgX09T0JdItBug
7yNn2Lxb76X+HN0CNI+L8wp6QyH3V9DZ9OhPZqwNxnA7BNz8ACznrDz9S0F24/EwbAbG0X4as8O7
Eq56eE09caGXCXJK+dg7M6ukSQK1HApmDj2QaDM/8wKBdsPybeAMmMP9tGC/Z5s/N69qwCDZh7sD
XLgj5d6CwcI/DZnhvKek4F5c9ND0NDNgLxBoNzDfBs6A+X0/eefruyaHDsFXNWBIMBf+mSEC9Azn
Llccjg98fc1YmhdIshuRbwNniFxf7aVD+cOWcMVQ9IqIuHD4VsHS/6AQAH20cAkKphRigXtkHue+
z2FeINBuYL4NnAHzx6e9BGbbUP+pbNLH1XkFZw/IEOXSrZn6+pqrDIN+KLhgAA7o3gMza6R5iUS7
ofk+cobN2f5ic3zXmDv7iuhADwCcdIKLuB76aiHgeupiBERi0AMFd43dg6Po49z3erNd41/L9GN8
HsfOETreS+05Km5fub9WHQArowQg9PB6Dg9EAFALgGZB9ZDjzOB5gUC7sfk2cAbM0X62cp7qm1hH
m9e8dQsqz5D4K6gB3CMzy2GgTwNYAUBui9/2NTNrL5FoNzTfR86wOT3aS6XZNjuWXaMfDcs/dzlA
mBEuoOT/cOHZ/J6UbVeAEHAPx2MP7l+w+bVEP8LmceQcm/28kAMSgVc98sSh7xxisG2Qdh8MzNwN
Zu6BK7ad6WqWZP5akt2IPI6b4fH7/yMi5sfXQH67LTPYtJvF12s2n9wE+fN3vz463P45G/rAZu1U
qHui6+j2P2+hLuZCxv/t+s7tlzzjwb6FuH8Zc7cx7X/eOnA9xwFixIVzbBDKYeBE374Z4PrG7Vtw
QxRiW0ThKAJwCJAPFduj93ADKINKKXKhNEfhChDAGwwo2IGvb8GpEnB623MlW3YOit3f7jc9LzML
5cFvy/Hw5zdFl5+XumgNfPHbN9X9p7ZPBwwfULDbkxDQuAU0BhxUhfdvNpeQfsCH8f8JuwFrFtbD
WZffRiYL4uzPJ6uxYwJYrJ9OANbk6QTNSLK8GmECmXAvlrnXqY3uz7Ty4/z251MxWMnnc8HRAIjV
XALHO9g2mXk+l8UGZyyj+DRhmUVJ5eUOXG3Draekm9bss0nGSN7EZShbdIgq1zgTVMeZ1cUxIqiO
8tuyLqWI3kUdjcF9HYZNhA6tLLo7LZHU+UnXUOPQNeLVdJQZlYTNlUyQXXPqlOGVrdtl4mp2bNoE
nyd1mWjPJmFdtL5buJEnScNaz+25Mxhv6IlqA5bldZy+r5Ub9Y3PadGLMgAh8tbT3LrGKzr3uMGV
/mDHrFtnYd0Jf+ptNizzXmckX4uWJQEb+XQmccqGz06JuJc6Ua492bqND7k6Je+oI6ppnbQqdt4P
yNG0WJA+CpVT+W2atGN4KLJGm8OviDzo6QP699vtpqxso6P44Ubdb3/871WZw79fr3j9/pfbC3m/
/wmc9v1Nvj/9FBBi27DazD+0lebbd4EwD9JtNfXZH/5iNn5gGO4vBv7Bmy+1GlyCpv3EaswvDb63
NV9HPdiNLX8FFgPcgcvgpIVCoDkPdgNctJTbRgpF4dSfgB7+74YDWiwkdMZC8wXchgZ+HMR4NBzg
2Le0sYLjznB4AyzO3zEcW739bjgoNHBAKw5BkLrCt2HoH3iuay5GcdqxmK9VVDarJsfjOcNFs5qs
TSe/bQwDkvbbAj1spaeWateEYsv2wSU8SEJC/HzCFJ66cqucrQlzZYD7QR9OqhvPeSbrVWQNhuD8
Z/NtLd/8AcH2fr00Bq6PcWfGRCV8MuAb6FqUMd8kCiYgSYKvDOv1vZrc33u849HAmM+nAqgBa7iJ
Fm27l58/WhMPcdSlmK7TfGAbLZJmxdpJVx53I3zWTpO6FmmCz5qQjZd/+ylhJ0GoB4eq4EAvnsE4
1GlvkdPQtXETelTICruewwoZ5H1U5P7PJ8NQU5o/KOxArFwgNKDrZKsjT53BWGYmF6Om66HkMJGo
GtR7Q4Iy7fetSCKvIEkVH+fjaKRvm7g3HykuszgYM+34yC0UcLB/D2Q4/gLXzsBRDMGhvWKLzBP3
l+A47LIopGs5UHhcldf6EDkp/Of/bi5w/+CgYAvDxpltqCghKIutpWtiBnzWUcfcijYfL7vErYCT
+dljbdfx+d7l4NUlHF6AW0LBxW8d5ZPH0m3VOLzs6LoP4y/GNWrRubnzCzT/qiAwCd8eUYH/g5Wa
gYn6hIrWzeh6Sk25TmQfV57klePjKXW09/MnwtvVmT8SBFFfD5XDEsoZUjIkuJ8cTNbgYNM8ID3M
iUPHcC9rTPVJ1inbUG5BSbUaL23ckqOoDwlkhT9b2B07mCMKZg9tVRWOt83ECF3shiFP6XoE53pM
0gI7Xh0qeVI5BnZorfJ8kaZuwz07dRYHX5WXVUYfggVpVj+XZhcCUHuCDoct0tBK/BzmNFN8zNMK
lLcPx0vIKQZvKLpyTatGLf7+VBz69hje9vUBuf98qrGSTdmImqw1g+VVKgKVdbIRTL3kgMTPJ3tu
6sF8w413UAFVcMMwTPeX7VvFbZnVdeUchxDFTZ7jNNWngmTVp2mQ43lfWLAOP58Rb3H7vr22U8Ld
k9u+KyhPAMBbj/pUY6p0gkoTFuoYhY0+pLJwMs80ZrzkgzNeahMCroRN43ksE/dKR6BS+diWa+EU
1RBIzevVVIP7+2pBWppWBjaAqycvjJ0JBxqXv1ok+DWA5zKD4xdgTWEjwo1ABNj9GfyFHBM65oQe
mwzlSzTF07LU3FlG2KSdV6LcjpGfZUlThn6ZVJYvoM2MXzSNk+ULm2QgY5iHAGTIovZ2Inl7O7op
bF0VT6BXbu2A5UVNgnuP4SGNPBwpuqljOV5mvG5WKIFhDeLkSFgYF5jEJUeDm9SfWohi1zKi5LhJ
YAE9myb2PNKZ0yw43FNw3U6xk/ixCmu8wobBVxsRN0OQq5inPgSiIfGiThN+mBU1zCFhpbmJ7Xld
QxXWoz11Y6/TFT4zcQk7pKK4+mRL0U6HTjgpfjxUpFybNsqbwDa4iI/TLG5v0ySrP4mqcKvjHGt7
CTfKjeeO2zq9N1VppD9jqwAyMRGept4gh/C6zkrYe23KN6l2YbfTxGUbi5W5NRCUg4fue7bJbere
VFPorvpa1JcNb/NDNojaFzqivQf2t2feoBh4GGwxvnJIDUo6SnlCw9TxyUhhRUMdXlvq6sOQEHPb
mFYGTuniq3ZyYX3UEIpLY6Lp2u2Zua0UBZxyPqhrPDbmNs0j1/U4adViMiEmvrSNuu4gZOeeE1py
pMICviVPLL6aWlg32iFT33vUAjz1sjI8I57N4yZZRXRsM88KATubxpxaLy/sJI7jbWDiJGI8j+pc
naDEHS/T0vJxkSHH4QErMnxW6xp2TUoQ2wiewmraJKlavy+lLfwehYIfV1t76fSiNoeG9nV26I4u
CANXXqf5omnBL/IyBv0rUWSjRT5JfBY7eQZQsryVfljKegiEpeBv2jQMMw8XBPZynzjq2qAQvla2
nQxGh4znFZbgi9pWpOPSQmroem3BXOJXJJpOJ5FNkY91zjZ9WbMNjzvleqZoVBYwi5v3EZnc1TQN
kQjciNPPRd8XV3LS9jSr+yyozVhiL3EyLJdYo+ZYZ2V/FGUWpjHZOPpDMZVdgEzIr7Js0oOHuCxS
T7DEnkFCidY5jUtIU1OlfM0M8UfmUN8Wk71KFWKLroyr6jhFVkNkxNPYm5ApLtrKyMJLwi6/K1nT
fpF0Ko+gR647g+O+XeHbMQlHv0vBMvlTBoZrQFUDi+DY6iPP0sYsDbP8ZpwEDkxbFCelQU20RNCp
NXiqq3SAk7I47MuuPFNJjwe/mEz8OSIO80TZVqeWx/ywLmy4xrYV9aE0A/9U6bxd2qKaPvNoKI8J
zSPrjQOdPhdZnS4Ycyff4B5glCHr/TQdis9JlYg2KPrYBClqxOE2GDWeGGvjBk2TO4saYkCvh+Bl
mUu33Rqm0CtKFF52qXGOirSujpImNkvLOnsXRuWwiB3tXFhV5h912lM/s0XrVYVOvaQ22hNpsxEt
Bf3QkxOEbh77Xd/gZV6V8EXSOaNjjMD8k7AsvbQhMQ64yEjZ+mmtoAnRa6AgFEGGbsZqOIFIV65c
gi0LCt0PHg1DmIhmKgxoF8VHsqyMD79BEwdTaZ2Fm5fdhyrldeX3hVl2LLV+EaObTJjyo8q062mF
x6VxQhJ0Gcihwja/AK80pQD8FJ9wWg9eFSFAVERuclIKVZyjtqvOM9PCpnaATWo3NmzxmeMmoBLG
QMawKKvWTdZ8DCHAdsnY1j5Y2/Y2ahAYpHJS+MqiCbYsant13YhujBayGxlapDoeC68ta9R7uQiz
yXeZU34KMR3Ps7F2fGGzZtUaBf5YdizUXubScl022fbb8FiZw1S3YILAGkNgVpVgbUfIo4xJIITj
/YSv+oqC6ncxq1d0pMm4YjitPlUVbFu/FH1pvDQrsk9uWUcQz8Xd4GFSuiXofGyq/DNLYll9sVVP
PdOLNlxkojWLIqHDXS6HOvJZ6rA/FA/VURMrs8pKG8VeMUa68zKcxH+avt0kFSMLRnUU+aEF8/Ex
m5zOea+nqiQr6cbyrG8S7fNMp4t4GOpV4vBpCbRQ9WFSUS48uChp+NCzJr/kUfXFzaaPI3R3vUtb
t12BXRWZ76qmW9Cucm+jNo5uJ62H91EnADnQ+GRR92mkPBqJYfL6WKfWqzMjjjmDn9wJxiGrct9w
sON+2ploWLVqRGtal/a0Ni255NOoHa/J0w57HFBIfAh21LVT9GOxGHGbnY5NQ99Nesre1Zh2l7mW
td+U2NzQ3skWZTuRP0vF+3ULvJbrsdDV3DOSaD+Nm9gbumlQXl5nYC5UyIIkl/TYDv2fYeUM74c2
Si9w16FToIfY53TgaeQ3WazAVxZYe7Ul0ZmiVp82IyPHjhoUEIF9ZDauHqp1Dr+hsyg069aYIyf0
aGvy5hCDyVs6EMz2wYhdN/Q0DcW4jLOCXPG0qlZ9Qab3lY7DE2S76aKNUempPho+wW8+1d0CGUP1
8ajHkfmyRA73ZDjI9IyPaKgOFTTDriDLdU4SMZUfkG5c5Ttplxee6wiUrjrYPGcDePgvuK/NaVdV
/eEIjnBdJCbPgkrFofFKDOlFDMbtMKUh1n4FkYXjR73oLyK3H4hXJCGrYF9mzad0bIkHrdHsZNQu
mFGCrGr9uuqLIXDzpgv9rCjd01bYiXlW1VguZCYoGEQ83JUu78KlcuppGVURPaK0dhck49PKdEJf
mhzXHzpszbXMLF3045T6UzJqLxWcehTFMfbGKREBqQahfRxO8S3KW/BDLbK9HzrAIwYUluq8nyBP
KbJJND4rQ/3ORWL8gJrBOWW6JZGnSU2W0iGN8IqqYMvaCDb4pauVOexg734Js3j8o5KkvRlYKG4H
3nK9RBXvjG8yzDI/KTPReKEk5ZepnWodNPFku5Voqy8sHqNzk+QEvBz8+tYxGca49MqyqIN41LX1
qGgaPwXv/M7JhmThIh62gYogZo8mO44eiksRe6yjrVynHbKeQ0X/Mea27HwRTck7JEKBvLAqsneF
yrLWK9zRuYgdAqhlQCDRVV4N2dhdj3E9hvQ+g/3/XOgvKyhANj7Jxv5aQXn+W1ZP6yhfRz7woXB4
DOg/yM/IlmyAn3KAL33gQ+Hmbc5cIDThqk34tSAg0r7zofA7XARKKdvff4L0lW+rLw98KJzsAP8M
/I+ABAp+OYKrv8WHyufZOIOggAsMnIsQ0KILUs5SyMjSISsScPvAcXXrUhYMTIBbmTWxOQ0y2oIz
U8mUXxLh+DaPMg/pUQcZwsMK7Cy4gTDsxLJpVfMe7hVzPEUyda1lmx3Gyok8ojsFznVk9bLjeZv6
YxqzIxOCui67pAsnH4LHAbI3yTLm0ZTxoFc2DViVj6s6pMeFTLserFDUeFEuow+4AHPugd8KfcWT
j2oYrrHJQg5xjLEfpraHdGfI7FL3DgpamnQXENjhY/j9Lh17Y2GGRRs6We9PTlhfMlvrExiCq6BB
oj+sSudCh1ViQHuTYdVAynM6DbbwRkPQH1PT9GsgxOxVWFmytI2Jz11leO2pafvkWZEaiJe4hsw5
yZZQz+4LLx5s/j6KGVtCFFP5iYG3BarxWmH9oUxL5kWy7U8ltUvZZ63v1KgMor7sIb3UtH2fQrR5
HpaYXIRA8YxeyRuKl6Xt4Ikz6UyB6kLlSdHThVv14EttnQUgcxoQ01Kflirf+gfhhSP5o0vTaoV1
fCKodQ9xF7+L5NS3gWsRzQLRx65P2UC9IosmetI6TR9CZsFboMimFvLudqWGov1ADeRHXqUnvHB6
qNbQxJLca0zBAA/WnUzSXbUJ+qQh7ww6eJZFGrbXYWHRsRqaDza11FcWFZ+bIbHHOK6El1sZBxBb
LiLcsiBLoujS0IIUASTl2alM8vosK+IcljrLY+FVecmh4GX4eUqcMHBi0X8Km9C9sFC/WrCIjyd2
qu4gvoR4HvJAvghrHZ1PQ2KOR5V5kOETn0AmfZLxNISoiodBVzjhBSbtx8iUhc8g+zqKeRNG66FF
WX8xQs2g3jRRZD6joe6+aEgyLnhesXUS1eR9ymkSgHvuTpgxNffbPoclG6q8Oe1c9HkYaXfmVC4E
1AO6A9r2sxiG0vg5K+ojICUhstMEvbOZwCbIGys/ySjuriCmK/2kD7MFr8Os86e86/IVoh1LliEv
iwxc8DB8jqOpRAG2wC4sjANxvpcmDfYmQHnBgK9d6ML06KIvp8xPUYxOqm1i4I/Yhhd95Z4PDH+C
wsEn1HRegyC2aQTKq5XiuoKISMR1c9gb2DEocvkfLJRXUVjdIbcLrZeIrFo08FN1K5b1vXwXZ7Ty
CiW1n8TcXUVgcy7hGyJPEBOfmVqvJVfD0YiLHKIRTmNI+iIzuKcQkE/RoQzHJvI74M5y7VTdZdNa
ASKZZeJ04XnfFaXX1Clkcz3pA9PzcdkhdWgpiY/SdOrrC3dyZb7qQpwrCO9tsoasPkkX2oAH9UZU
slPDSLgQpIyP4jzEi7pqB48LxwlwxeUftMkt89ppXSDhrCLIgw5TmUVeyF1nyULbewrZYVlQKJNG
Y5Z+hPjQBnlSD2upxZIWbe5VocWdJw1NIR1L2AUckkkXFU97jw9x7ss+pX5S5/VxkpIpKLuuOuyp
gXICzqPToWcDrEAyTVd1htgRa2VzOqLWuR6iIO6ydYfSKMgzU2Wejkq5AMogXybVmtvxoxuOPCgb
4x6NUzgtGHxqnTFUnuKM1Npj1Bkbry5rFwWsY0QcpbyXYKma+oKohlxJJmOf80oGMcPx4Ntqsoeh
E5bCV1mafpoS1Xl0FMOaUZx4YCA+Z6lMIDTu4tGDroFmuS2jQOjWnwFNYb908dTDu0IsYxbRzBO6
6g7HEIL4kNeQpsYq9WJe4KB0UXcU5jbzyzJsTnTWfQbHwpdDm/WrYqoH0NKwdCavrYaB+3mu2xso
d5BsAT1d5oTmoVr2EX4fCS5XxMnRWiNR+U0hk8NMOLkXT83KVBJ5cDhSLgpRWh8XTr9ymwIdISuw
H6o0PuIDHReQL6M1bwcEeXsjl6ZC7kkHifN6LIRejG52GfLJ+sJE4nCoIJP0gID90mnblUBBSerl
FdjeAYiDAC7Mqo9qhfPJS6K0DtBIzhtc+k45utZnoKKncRXpM41G6acZVCLslKqAuRof27YOl0NX
r8c8rxdoGs0tK5vRjyDkWyRZVp20BCLcCQr/R82k/pSqzY8i1tzWKuoWXTr8mecU8grg7xZdB+4G
N5DfNyZadUNGgjyEJBGHl60pyBnJ3cKTXc8uBqrzZeOYs8gml8C4ORdDnJyPsK7H4chc0MbsLBL5
tBx5qsA1QgKFgFI0fMkm0wQ0VVHhsb5r/YaO9gNNrYVsDNb1su50xI+npLXdqTUoKhcueM7Gc/VI
gBZDZJvn0qG0aMELOaFFHKpqep9rpJyPg3FHG2j4jb8pANrJ9VGfFmLyxhRnGV2IFmO7qnH0Pk1L
kQRTP0EoY9KMnvUpbmBbMUw8N0mSErL8Jr+zJR6Zh7qpfueWrhMHVdJMf5CqG//ISzQeC2iHWHd1
YQ5r6wxABkIRkAMVmvbHiKcDmP6sgDXo43ZlczQtcA4WU6YO39hEJgHEc8lxj1RHPGC58ks5dfo4
R7kJ4KKIBZxfG5bWldFt7XbOoWkHdm6srJeDrPGSNG1SAH8J5jWtCSxQaoEJjFEUXVMbVoFIoNOi
qYBN8hRQ6SvdTLQP0MQ6byg7PHjg3abBK2lF1k3V5fECeioqbDzXdkp64LnQkhnwbZ60UBoAZqXT
3gRs8zEkFEUUTNL03RGKLfRuxKlz5NQ1h8AvRF3qIWhjeYeZw1sfUvBaL1NWq0Up1dQEMel4kEY1
+mSA48DBmKDkQsZNfZmoBLpHFLfaL7Fih0aH47KB+vJqwvHYe3U69shDthHApDW2/SODdqIgNAr/
D3tntp0nrm3hVzkvwB4SEgJugb91Fzt2nOSGkaYiQAgQjRA8/Zk4SZXj1E5Oneu627WrbEwnrTXn
NxeXuop0AI3GLW9XVvK9GIIDG/PJJOU6TksSNehajSrzdGiZPcrSm23ilYPcMefpa76ITUHyQlOn
GmM8T7zk5DHPiyqVHcmLVE4sUvtuAcWCx2UkadmP41ss3iu8k0FctDH9yENI60sYEJ3gjuYmqSFv
uiTuVbGbx6lakn4K/HQcxdqlXBT6pjFDRFOon9NuDIqrLpi7fTzr8XKewuAkIABBRoNzdTvU/aR2
A2ToA29Ev4tx087RNBib1Q1fPrs8Kt7HqLkf/EWEFzkvGpGWiw0vB8iqIsslDI4rDZgr9Zfw7ajZ
8LjkkM2FDPi+9qAV+5DFTr2/rH06VJV4xzpu53SIuv5Y4mvA2Ev8+KquluUP38tlOpqSfsB6Wp7L
2aO7xXDx1lo1QMjpIajtPVMWUTYSiC5y1D3kU8g5E20hR4m5SdolVDvFy/gQOz3tAmftxRra+XqB
CnQ3QMxMqmZ2aRUoP2lVV3xYzOxM4rcthyDdjlDeaNfvjG/HVLeQBFg+mp0H+XbvWxJ+9tEBX8Kc
BDtk1u51N8O+TrGeV1/akQ73cUPqt5KSWkIOr+IzxLP8XIY1OZMuN/sQz+sFsClxy9ZxTqEytyd/
JTjAGngJDXm3W5qQovYnAvpvPkHRGwuFpVk3+1l0waGqvebkCGrxLq7newiHbO+Rfjd2propJbSn
qtL2usJg6wssEjbDC4iXJbQ+ChasfEz1ZVp4ptspXYndwqluU4jIJmn1gHe959VFV6JGqTUBJBKP
9adCiWA9hnUx70oziS92bOfPQrsiSrs6dlfW9x3bzz1v909N7b/9/+/6/4Bsc5T/dNl/6v//TG89
6/y//sz3zh/jzUPG0L8j0A+Yf5tF8q3zD5G+ZDxEC88hD1LMnP2r898QygAO/Taa4Rtd+RcJhTQn
ahPY5hjQje8O/pPO/0fYAroDolMAMvEXbjFQTl5wEBG101q2UXCMomFMdFFEKE8M+yof/R8ZIagL
+Jw4zpEDFgUKhtmhPxrU+WSNz1qZH6eqaWiC7TBKIpe375vRuldahOxUrwYubAt/7zc4yXa/nrvj
TwcH74Bx5bhs+CLDi1MsRF07pqIY1mDcqn3YD3NmHcxTHRB1V1G//SBj3cXocEuWDetS/uE8OEs7
0QuW1T2FDThV5WG0UZ0y45nzpNriZogqKKZVnQfpuPTotyRMuWkI8zst6jl79lC9+urlP+fH/vYk
gPhg4B2sMzxIL64g6bEd6HGNj2Z1/s7xdt1rT/NTGc7Lg2EEUihVIdt5GqooJa57N8ewEYNWLvj7
QJW8ElguX7VDFCXEruUhhh21t5GqTy62CprDTO91OW0u2DqiotfN70CxnyQmPAQYT4bZ8WCnMKbs
heM/cDZNSzjH2GzgzfZkRR9m++Wwrdi/vlov2YLtcQMSxvDgbRNOX+I2gaWD7iiOZJkkR1TPuHki
Mud+ZOaWBPJ3aNiLl+jpCQPyAWYRjzimdmxP4DNiyadD02ivxvFk2d9iRRlQi8t/hns9vUR8w53x
OXjMCWMvEay4x3JRz1507H3ggxGuWsfi8qiG6P7Xl++JA3rGk2znE4CBxMK0rQs/LQqVxGiSGc/g
0V9pfVrDwd8VMZ6ZZcGNWzTrNwdLoG1vR3W32AAAEeSTjFdoIoqpWS90EJjbfhFwr4UNBmzkJVw4
S9l6lHWXn9u6WQ4lns0HK8NmSdlKuJfIal57GEk4iOu4v8NHCMrj4IvhcRZrefz1SWIk4ct1AbQF
ZkMFGH8DqQFE6I93LfchpKAZdMe5YjTR8F9PocwHVLm92rdq2JCE9ourew+CVN0neHirY62raW9p
N+5V1/fXnSpnmNMNy4xoyCP1VXkdxAuHqqP1Y2DErqez/5qCrIHYNNc07UVe3/tExftiLZtstIV7
KGTjZ40sl4OSe1pZ+R7LmTqKMQggbvnB0ZYgcLC7FBD5c9gnUpRHr4kXNDOl3hXw6w4Da6N7MJbV
qfIqnTXUFGNiZP6pwMaT6kHJE+9We9PVdDaJXUN+qSPgCzYXwa6zPge/3U2pmERbpyOV7VH1rXqD
njCtDSSTRi/eTRB3y+dlWYYkApKyk2pkhyDn1YBOA5rhqjqReeHKb4OCkftuGvRjKAv1paNFCy2K
xMuSxn3R5OhPCEvapnBvQ0AFWah9YKNxXJ+qpXKXq4nFDdx+lJdR2cQJ0+V8M42N+dhUdfCBmGHn
uRgQTq7+8JQXXXlN7WVclnLnhf1Za4G/WlCzU358ctZrrtu8yxPfNfOYSDBEiRc2gOiry+16Zm1d
dSlSDl4ytGhPqGbvAAfDEoeffpJKa6Au3fLg1TBF8W/Jek0nD+jGAqF0R7C/pJWe2cFv4+g0rZx9
6HMxvEIhPTSnkUxxasKB3Su+b4oOT4StVTIZxj60pm/3qvA9uFsO6YLWb/oHAGKoNZWbcWtclYDS
kMd5mfZFwW79HJU01jZ7GmEGJ4vnxijpC/8z63HPe0G726Wvr8o8KFK0Pyqzsp6yKUetXehxSntC
zp2PPohIzpMqdvI1RP+rXIr3hVvIsRhHcpfTddlVvXhcRvXB102Tzf1QpV4lwD5B9ENb2tPL0E3z
uQlUnLR2dakmECCmynjJCE4mCWOvwBI1zSnVDSzdqnUXXiTjgxocGA8vyt95XbHgj3H5vvChgxWK
gVroibF4uOwcZtiG1L6UkWiyai7LbJLCP/TD4F0Ea9tClG5JClN2+YCOktzi+yhhBIUXHzhNCPCB
GwihG1wzUHOxLJTD63T1kbKSHMMWr4vwlpaoJDb+qiZosUCyCuibyToWeepI1XzqLZdvq5xOn0U4
LG+Z7eezjiJ7UjYeEys7ftkTrzsYYDxpkBN7mijeL29RXTLVyyJZQqpwoKemjMPVZNQIvdNE6sR5
q3vgljR7sJrFCTJet+N1Cy1wmXIYJ1N5oMI0l6WD6dLA7UyCFv9YNZPqslI4c447ojIwssvBE9GQ
mIGofV7ZBQ1BP7fXZJF1lncoChC2IEnf+irrfB1lpcTOQdc8SqCydTtiZ3+HM+7PoRj93dzDLfAL
JELWkQyPazzzGx8v6vVSEjNl0O5FkaBPsn/QCrxbXJP1CAOg/1SETu5FW4ZvinJsLpsgBCZGUF+A
PytuAMugOrEo+doWSpqQcYW/DgiGSSbEiHYOMspdLbl5W1VMgaVZ56z0UBd6QbccakXB5XGD1lzG
05t2HOqTge7zefUKcqwrjrWnx0maDuWXqNv8vMYcf9fCumsG4uYcDmAilxlkd4rYoMpAB3W7uLc4
cyAiNzHRMzRQ5u8MYLUdD7i8WcMOFrniYIwAP9TDoxQigBjN8JeoKSYHa8fNexZUJiML0VojhhLs
WFwENxQLQ7o28KIBrqzADEWdxuGUn1GrBGmXizhBHdmfLbRF4CDF8gU1sH1T2h7reutDC8Y3aOsE
tQ2MGaLNIW+84GLsW+9uwQGKzKux8655CIwsWIrg/ZwH/SZLF+MdhE78LyUhlxPfZH1Y0LckCi4G
RatDaE17AOUIQQj1IrsIHDmMBosC7Sd2bZnh+w7W8UkrX6S2rop9y/Ji1zbTPVBlP53HEcKxmiFa
leRVnzexTVQh7aHv7FIccPlD9QkGgCku+0Ebi6cZeaHRNdBmIA+QrGd+n1/GuQZXAEFwADAf+by4
drPv9PqVdf63Yf1dw8rB0j6rhH5qWB/GD8X3PO5TbufrD/yZ98MQYSRUtq/UPBnVKHX/zPshCigw
jwafEkQjhxmpf3Wr+Ng3wgE02kKAfxnUYLaRPAN0jYp1m2r7PZX0rd/5VdLvKVzxrCQlEUxpPJXw
xzGMHc30VvI/K7ERbSuLdomWq7hZPTAi0dwty/6JIYW2zU7KbTi3lbK7GAI+fKbLUh4cFstXy0Y2
92ZGAbUxXNU0gX4uqbtDnCF4hT5h2CqR2pV5pBI2k8muRxQQPJ/vvHBxDQCv2OKzpQ9F7tAmAq/x
KyxiszVYDOvcu4k1t/rc9lU/xKlPaRt9YV24lNNxxvwyB6YynGiZn8AAedUZsXNjX8OhJfy117Sh
v+s4Crgdit9+vcC1RN4tUkAgUTfYIoE2KWB4+9Ikkq/LeNdrrlPI9uU1qO7iYEJ/ZUA1RX7faL8A
HwvsCyfVZvU6eR9hM5UI+fHepJ0uqlvXBtej681pDUq5R5hw+pCX3R8GQQmVlJsgJUjF0rhFSA9W
DyhLvzlX0pZBCH9Bzeg955lYc+GHq25oWoHjvi6kst7Jze28ZArhveW1B99rJRmRqpL7nHdQvg8Q
94sJNQ1pR3OkRII6qgGPWki+d6IGxnTVORiuuAkawoi2/y4IXyWn3ywIyIjGeFP/u4K1zfn46Tut
28rw7Se/61hgUSiYcvENUfmuYfkYvhOi88Sawb4F/f6KAUMb3QLhIdui4Zvy9ZeGBSkM/znDtouS
jLB/sjj81H7DJUGGAJ8QRBwKC9cLbYR7wkkThetRNah72SpQ6Qv55tlF+RsF5if1YjsIiBsIZjhP
BKt/XIDG1nodvlewHiflm8SFw5oBNgjTTvFx9+tDxS8bUxwKOUGsphyBuuClnNDq3JkK9PbR2RJJ
WpCbF77P8oS2nU5qWY5HTXvv4NaAg5dZ2t8c/qfLuS3WyEiCBMK0cnSHP54pCNAomIUPUrSZ730d
PkblkP36DLdf8Ww15wiAIi+IACLCHyL6KfyBBmyZSE4NgNn5Hsb5Gxg8bTohUJOQ1fzx64M9zeR8
ebgtNIpJuGBHebxNi3y+eTAJ68LFw3DkMzNnNHS0S9vY02cV5PpcW/6A1d5oSA9mJEnA2kqDYYWT
hfWpRwpjAE+YhIgzxklRReo0zWGskQqwsUldXcsWrHIMp843tJshosbgSmL/5IMH/OhX80HaYfzS
8A3m70fiv1mGuEu9JZ50pjx4roWZ4oyhA8om2ElvkLqG8Y0tBtiUH/ZFxpHMuhdBLR/LJQQqqntQ
QLINbgKAkHcCEG5iwSskkxzl9WShsEoNjLuNYI4FBMgVRN71pCJ5NVWe3TOtv/CwvmtL/kms0S2K
S53OPNLnjrj30nKA9Jsj4QEKTjSr1kx1K0BRE5Tw0WkWDNX8B4hkcwqr4gbRHC8r47bfcR/dKXYB
ce0guKaxJ/KzL9mb0KP5uUJrkIK57JLS2j+Y8OJ7UFhlttCqul5jI+9Hwet0ilRKwMJmIeRiEPi5
Pa5lne8q4oqrZkAVXuRwIKMF5IFE44CmxRuXVM6LjE9jVE1uX4IsvzehBbuARFjqA8e47EhVkYum
ozndNwCKxQNvQu+xULa/aVqK3xM559+3VNkLJHimI8TFISn7HhSHb4LiItemv2rBYez8Br2InoFT
gdyoXpkWAEE1N3QHT8ffA0clb3gL5WKxxqVeUfrTuwn9E5UpWeilt4byvizMCmwY8YtcgK4rjBiQ
2ClpfFo9lMgwJfvbbm36V7ofLvN4Ye/MGo33fGLqaLyCXlHHxFHD60rMCkgVyog7NFAtCtUH8IrL
Se6rkLkjYJL4lghZHTzW9Ver9NpX6E0zf5iWK+nazqRxV5M9+CvzrhWBBCYr0EPAES8PfcynizKf
VQLoVrwqw2Gf56zVST6GNImpfF9NACXwY4/OyjOcQgPdbr7tFvVQUZT3HkItB64boNmDQHlRoLW3
k5xvvXymB3/rxSnpatjmIz8hZohO/alpJzJob0DfoJWfABpFCAFJcstys3wYtq6/xktzaWXlXYyb
JsBcXGSiBnMFuLtRe5WbMDNPQoJ8EhViz2MAfaE05Jvm4Db1IVJjk+abIiHzfL5w4AHScNMrxKZc
AJLK8e5rL/E5kUAKJygcm9bBIO2fV7+gly5mEXpuaCJt21apVhDzgLF8YDl7jDcFRW5aSrmpKr5l
70PcVw/80GvVEg57EVealet55OB77abPrNwbs3zTbExEwd6s1ZU3mO62Au+VNWb9DCkEfElBwNdH
ubSn3APbQT1y6yAOjZtKBDSqStq4mw+rwq+VIGseeuqFGsvT7GXdpjZNfss+gOpWCdI5Yje4PRpn
dh8EALwaqvrm1IR2eDV5HfuAdTs6lZuyRWhRp0AcoAMXE2SVAFLidf4kh7FNGWtpVF9iQVpP1MVI
efjBu35T0oC9eoii5W0K1Re2JykuZdQcik2B05ZYiHFSA+jRtLkedHSqrf+gdEESP6dNKqP+zJFr
yVZAmhnCZtGVhOCHMrxKV0iA4eTzDxPh3cdqYlA2+aDjJNhUQywJ4qbclMRYQMEWm7rIolJl7bzO
b1sHUqAoexyZxFDpIBXiBUq8xlVfYgSiHqGQkvt80zHZWokMJCtNKZRfKN5BzTBsAtqnaPA0Uyfc
Z70po2rTSAeIpaoPqzdBETRHxPEgpZoeuB4yJ1B3OFYP5P3rw7SprzUrIcSyTZPVQ+Qdt1lgqTHh
p5AyCYEpxn03m54bVVF4Xw+OHppN7e19DuLILuURshlE8k0VnjZ9uHVTgOg9NGNRUnUsPCnfR8FO
b7pyvRSb6wytGbaIznw0eHtcpPqeRZKmmLICiMwblf+aQ7IWm3Y9Loq/d1YU17DB1kegQVn7JHZX
m+49PSngmxYOLq868k0frxGWzLB5fgH+6if5pqKLTU/H/jgDbYTGHhvXhuJipHrx68yvh+lrXfFv
1/+bIh/19RYK/u9F/utt/M7//PgpyKfu/+sPfqvxY4FxwF8nKrAA1dJmnH3v/rdBQAKYOD67iW8/
/TC1I/gPRnngVYbL/ZNVDVXLF6Fg8VeH+5+U+eg/fiwbEauGJrGZNkDlEWKnLxybGKDLmOfGu+Cc
2lvUe3q38j446XpVuxB2A9gn698hXWIhPgPcoXaJT5iyV2RStfP9ooS+YIOPJKsZo6OCKRUkeVU1
KWoArP+iKXZqlHeyY3ikR5vkHMAY582beVKvZp+PiZplhLQN5GIqKpfmA49RLG3vPlfYKQyv/dfw
KYqk63zMumES5NFsh/sG2l0yIL2XLVNffybelCwRe6jg4rFuNEmYTwj+ob+vsJ8ezBzwJmHVpO/K
ap3ObRdhcwwLLJjOaHWwbC2zqm5AN88iPGnp9K6q1hHLJfDHcZhYWql2FZnE5bzuhee7ZAYyBt/b
oYdARhFBFYDXy3ElPdmRjudpF5jgkvTRsa79u46gFEcgl15pRS+a3OmsckA+JQYH7FSxZbxMlO9H
gnAXHph2FzUUQKlUc4JVLcW+C8YICCyUZA7LPfDCswZyhPhrjjKVh93e+dI1R9egAUmDAak9Va+v
DSjobF6KNzFSqA+zDsTJ8dC+a2jrJ8Vg4owsrM2vu37xya5usYjDXEFFRC5skyNU1fRMQc8v5zby
PqnaIX4IbWfy1v0khgoeXtMOa0qCFslmj0P+TDCAaLkzrImuYxkTbwfwjjnkDKyZD9rH1AM/DNwh
hA3SJCXl4Y3TzQhlaCRjspQekJ4kWgdmk1GWwSWoJpJW1CFs56nVQ0rJxrpOqomra2+B8e1lHgaE
yPXQdj1yBFdtheEgRZ2oFkO8gwS/aAjjtEP4bW3OYd6Mon/X+nlw16/djHxmPLSlVyn0ERCc5tt8
VPrQfJ37BCHa2nkf5wVgxgNfu368i0FrL+IBqtZAXnt2EREcMujvgKJ9qSfn7zGCI3JQYpRoIVZd
zWWzdAbhqLzBtoV4x2Mbde4WYNaqkYZujL8HkVoBVPKkQ74hiPPUm9D+7MCieW8KFWCX9ddQQ/QF
mHSltlFg4MDN52CVBpCz8fO7pi4wugnTAUyXVCC/3uRBo/S1Vy0+TXW3kJvVzsKCWgvnPJ1M0TYJ
BZFxpp6jR4Dz5cNaG7RnM8ju131eQJxiXu8eVVlDx4Ltyt6bgvtZLbW8McViboQpo91ouy4VBW3m
A/4AcoVA8rY/GrJzCI4dSwSAX4mhb97EzrgpCQ3la8KXaoCRFNMeDV2Vn4pI5KeoC705CQaEAwC/
uSCjHh1XAKVNiFu+Kp1UARuXhD7VTGQY7yYbNq9M1MlDaHhSUBvcIJ4s7/O6cxddjZIpMZ5cv8Iv
/26Iv9kQfQ66/Fcb4vdPOf2FbX37ke9COMVeCCqAgrUKMU9yYyS+b4U+/0+AOBbGtT3p4Ihe/Tn5
DkNbt0+EQfKCcoNhblCRvktedJt8tw2n/D4W75/shWwT9Z9rGuC+MOdjm1SOQXuYkvOSplHDBDl2
istXlYpZFaeYAgx4spdK3MR5x/ktx5SL4YCWtenRtwEowxQHW4pU5bad3bVhcIsRKTcqGcYSRv5d
EdUYivIYRNZTBMgqmn9EPNVRrg2ZX421IZ816WbMaQlBSkVpTwtQ9D6IT9DaLUzcyB7amGPoQWEq
LPcN/cJkgxhkPJjoowc0InVYf86h4gZWoFxTN0KFCDCp4oDcypoxOIpwC8vWAokV05QYH7ngZK27
PkhWxr2HkHgfIyeKTG+aB/bU8FoUtjyV61pdOsCmp9AG0/u5muDkkQ5Z3b4RxV0fRqqAiuMWJEfW
PIYZOut+xzqcMVj3dYx2g6m7LEbc9MLkag/BG56enMXHcrbjA/IlRXUdIHCZ4Vv14U3ZE2gkCwTt
Er3DBliFRVEkeQyUKhnIWC6vw2Acmwx3YnmbL1i+PIga2PJdLl+HnCGpNbSgc1MMI7CnUuTFxTo7
95aXWFEPgjtgBw2zu1ggMpoSWmm6D+G+Ij2DPeRx6V2fSmmqIUXgS5+9oUGC2AsiABw6XyMYCHM4
JazmeCSqtYRhEboCimUVDCDzEepe3gGZNmjqYRSS1FdWO/i5BVZ0MrEdJipgPodXFV/CHkh9IUt1
RAht2s+SYVKGKcEUtEV4a1bu4OIVyKH4y9jeorzqz0vL0VdpQ2+9IJ53jdXinPNwQci7D8RnxCQA
hOOluQ59unZJgXnyBRbRBanBvWm87pJLUi1XpJlgZ57R48xRl2L8CMi1HS4E71JtCyzUXGFfOK0N
NmXA6OWCsEGBUTbY4/XAL+cc043KpGhAo6mkA1bFM73i6t0ihI57tVIbvtaYrYBhHEBJujd1j5ke
MNoHki0FMvdJj0iuTpmD1JthlNnQnisEUuJL6CPFZ23CBSG+OlRhUkeL9i4tDJUBioJrrwcvKi9t
MxYXIm9mIBSF6BI1zNNu6YDRnJyEbwtKHbRHAjeXFHDRa789IuhZ02TEWAqaztBqxiMBaL0HGFS+
gpBA17QwtkCL3+cab3YehTn6x6Ucs77apIsu76y9XNdyMpnvYU5Ei0qAZZ3Vlqak8XpET0ANSaCA
pBzSXk86vHKrnq/rISCHXoVTVkgk5fDEcQ8Gboj8D/bg8tpr29ruLcaVIKNMiejBikfzWx8J/wPy
/AbqDxnuVjdW6208eZ+8NW7wTmGMl0sjFFgwnVo2rPvRAEPZy2lp34L+hBASLRM8K+QE2wMQm745
4P8EnhJ7zTgesRItaEhjBzI7EJj8UKI0xVQdUvhAtSoE2BmqqC+zxx+CSUSXDFjA+toq33bHWRW0
PfX54rKo8yiq/gH7fV75t7yZ8T7mPK5QM0usZsFEGiQrTHVYHYvOlRcBg4gwOcldOgrbMGRDg8Kl
69UhivJhV1OZe2mJe9Ui0r5WKHc4u/VQtkBanYo6E3HlX7SiiXcswliXnVfCe8MwGkfvu5WXGWG1
j/usuKw+9iasPlRIdT2AqrPvBviF/a5vOce7xp3NvGplO02FN54QOcRIEDZVw04Ug+wv8B8gL0i9
DuNm0IV1C2D/aNXFGWM+AzQ5Cw+DjiQACpAKcZMoUn8QaFIC0QNOaWxnj2DdWLvDpI4ZkkMb6Ilf
AY+YQOc2wNQoIJY3dl4fOR5hOBGD24b5NMQ/imgObzHhgWZyzJds9AuIwXETkh2wHX8HMQ4BAugs
7q5Bi3Rdax/hXd2Hml7NfYsw7biK6hCZlr01o3srnbMxCkYkSTNYpXWUWkvGIZls5aYr3Wl6vWJA
6p1Gv9QjGDY7eUudzXs/qXi9rMtRs3DEZJqUQyvMz2bAqnHNI0X3T0XCv/XUb+opSslmQ/13geHP
75n/VVB9+5lvBVVE/oNfgaYdEwu5vxEBfxZUUYiYOyQFVFugTrepYH8WVAwzhjHacUukAyXwn08E
3aowHxOON8cPNDGMuX9SUG0e4XNHCkgBKiq4bsE3VP9Hi0jOjqxR105H34eLAokZs/BSDOqKL6G6
xwgjBX1zqcQElTcuYC08u1avvh7nOd6NE3x+dNRw21eaMJoOn89EDODlYD5j5BqDohsP8+TbXbho
TDsrIZEtYamP/49DIUUPuhdaz09mac8qS6kOxgOn4KKwEM0JArkdlipq/h9nhdRD/DRaAN+dfmEk
rtQpxKn4eMA0KcAYDBAcIlUqHV04fXX3/2vA4IVl+nQBGc6Jw5fZ6uHt9j7DQ5wdJ1UHuIBxidrK
Lv5t0yMfA/0yk02+SftsG3WIiqsjvP3N/D3+N3ePBUhybE8x6ugX5zm6Ar5IN44Hr+UioZUrdg3l
5h9N+wxwitC+KFhlTIrAbO3wxVEGGbHBmnzafBmBrL3fILAROBhdu6rTvx13umlpz16Ip8OhNkJ3
QWHui5djXQNjfQyQGqeDXLD0w1j6I2T+F4yP0gmkcFQ2VZf8+sn8+TKC6/AxXhUSJMb7v5wImBeq
mjFbZTpUBKRck8c1blb8O3d7u0wvz8sHQhTjQ7WYPPlyZjhHIhyTt9R0YKVdoBp4l9IbbiA3+cA+
ETD89Tn93VV8frQXNw0whTQyqKfDlq9I8hZZcQues4PqAacGHGmv1MdfH9Lf3OyXZxgBUQjQacZ4
ILFuP38XFoTEonnGawdGn9/wltdvJJnyk2jX6Di1UmWTuYOBEKWmBiklRhKdMUTqOMm+PVhQRzvo
QjNo9bD7BCPXOy1IPcCRGc3rtV+SGiH+lCqz/mZhepqB/OLvZqDKyDbRFwrzyycuGmDmtSNeo3KG
XJZwb0Zx7Vxgd/DvCKoPCogpaueM4ert/Nrx92TFPL+JRt01picyBDklMqkRk795wYO/eTQRWqJs
e8PR+vvbv3+2vFQx4g1rUI8HNxY7Py+CrOwxsMBEYkTnKIcHV7IqJbPA7L22hnLnmqq/xNxN2HmY
tInow1Zi8qFKzNKQhNEOflaD7hmD1ZcLIP79tS9W74SWHuPZ7DhmM0q31IzbHMS59N4ge4Q5J6zE
5CsMQ9/ji0xlYlkfYcieO4+YipfMHnymMQ/ixNXBRcHVwzRHw7XiCyYjslXte3DF2eyNNy1w5KMp
oYwuHGMTXV5jDlWxkEevN/ZQNRjqmAfLF7WwuzEaITmGUh3RfI43+M3N/tdP688vCLBXFAZ463ks
EIX88cq6QWL+ANDSQ4mpEJhiVaQYVn+ipbtHo94hra7pP34lcUSk5sDebeDSS5An7h1ovlWNhz7P
T3TgWz3/KW5Ac7OGpyoWb399hj/v7dH2lQRMBdiGDYND+fEMBxlbzGOdxgPq8C7xQVecYIixXeT3
S/brQ/38mCLvBAEKHw16mqr64jGVU2Cr2bbYBSMbXLSeoacWOePfXMC/PQrMIZQpDBn1l7dMk9zT
44wL6ImeQPQH63+cjIxe/fpk6M/rGM4GX2+PUC1ChgtePBqqxOxZgaEKB+eAM2LgW7XHxGCZiQHD
PzDlJ0RJgQefhEye++ix9+Wh5ar83bLEcH9+XJYQIYMYhrAlaKj/Ze9MmuPGuSz6i9gBjiC3mcxR
Ss2DrQ1Dsi0SnElw/vV90tUdUZYdVny97o2jqqKcnEAQeO/ecyE0/fr8moZGkhqk3jlTLjdjE+Tb
aEy7rTN2FMFsZ3EOZjmBShHVj7wa5V3WnSU/rhhOxbLYRzerok+egPXHczqXEs+GyjP39tdzih3D
MKLE1rsy7suDaN1NIKALLmXXXEWaKlACne9rDj8Q844xX4PFnNeeElYY+GUVyjL/kbN/usr8ieb6
+IIsyFo3kLfv5xIEQN0pOslxgsFjzq8M0X1mmPvzBQS4r/CVk3Vxlgb+e0KNzDaA9DNyU5P5Lm7p
B/WjEz8mzGLrmi0xln9TrAtsCXyx2uI4J8srOp4H3XrBoa8jPBp+O2wA5wW31SKrBzCiPxY3Ko+2
nwTbsY7ncMxSjDVpl29bBbXyk9H5oRfJ+ohh8a8r+DA6wZFwwtWsd7ORxke4veWxcyckKGfcFGW1
ld2T3YHqiCIFlkxdO8Uno8D+4yhAiS1cXkYQ8B9ed39mLpndXu9SI+nOphPffWNZdSMdXa7yQHyn
aDM9U2ZLvul23fVDDMLOOvNtkxIDi95aAkJji2juLD4a6Qtafb2mqCt2k4sehkqM+WMuTZOpUt5L
Gw6qSKsQ6RaYPGi69DDEpeGa+R5DzqscxL03c6DYMft1PQaItf5+z39fup2BZ0hJWSHgl/6oi4SD
LbMIEvmuSfPnktCPASOJsQiqzwsQzL8f7A/TNmJ3Kvys6/nhj5ZlnWdeeaZMYmwo3wPlU2ozhxTj
wvIZnfy8N/kwwXAkH+MogdZnN/iv70ITxX0tI5eR1MYPGeKP5zRfENkUM7sJd85ykBueAXTFM5NP
htAfvr5nEPxPmyd7c+d8av9a19CypB2XijMAcf4adT50l+ZOONE7JNI3trxe+Peb+nPt+du1umgF
TIsNt/dxTg8GQ09KMWTZhpd3vc26ZwYYO5fJsLaH5YeIyGNR+RTGc83ixgEfNVDqCgWrlb+fyh8H
k4vzXp5j3n/rn+B0Htxk4P0d/aoLRS3hqCVRAjGkAryafGZJ/sNHkwgl2kjYn11Saz48ZEqC2bnf
ykOmeL+LESKul95PPtkj/vH+Yml1GEncXsgBvz7QVGPcNB3QteyRWwBTUxIOJd0hL/KNw6jpyseD
04cGcLjNGGGEphqQb3BIXiyL99kc+fumHCMxu0I25ehuf9MxY1p0l0RnnMzQwfCJZbzV7QKya45B
F5nGutYFYjCJqbKCefnJC2z+6Q0+a4sJrYBJ5Hwcax0JCpZdinaH/S95q2ULunRs4+5a02QpVqNX
ed666vmBFVpctLmD1+RuSPQSQBIK/MA+RmMeT0NiI0W1uq5HKRXjPPv7QPzDafoBaEjmGOCL8iN5
MaFZMLul1+xgHMNCdJZhA1U4AE/oqk9uyR8OhYTGQXUtKcNBRv91dChUmYgAZbPrlggJsD3L2wWY
Hl0IT/wfLos1KAp271xS+21Wq2Fpd7XvNDsIVu0tpiIPWKGMLtK2e/37DfzDJMaRKIuwRJQUtT6M
eWuJYtofHAlwXhxGXVnf09O3Nnzd6MhPBRjZKpk/mT7+eCvZXzseYiQ0UR/e5zgWJXFUbrNDsjCs
C3dC+JIWgL+FpT85FIwQnsuHWZOVBkGh51BKmxnr1+fmZ6hE48VkiDgYZLfePHftWiXOuIRuEQH/
81qY4x5rcvSG9jAaW3aO/bRZJmkXt4VPh2OjYMYHB9iY+ZNVD1Du2zLz+7DOcw8De9Qkr9XoGqcM
FpHexkkeYz2mgwZvmkuy0UYhUAkDmHTmdsSoNV+4RhLsFKSmZVM5LW2pmJbLg9db1PBpPLrWNjWL
ydvYQZ1Y8CAh1f/wUoolMfpQ4SUXU9LaUdjiOkoedV6Z8yEvz0yoRJmFszFEbR6LZZqgYvXZoK/c
ouz9k0PfMrr1yEort/y7QZLY2OpsQlQUZGVYgk2PT77Eghr2ZyH/tneb/H4w6Ogd29Ko9mabYT8H
I2q1ENnVU6FxnK2m3qlS7P9jXEMLrKpsO2e0FDeIUcr2Mh3YTmKNQlqb79DSBlk4DS6tJWxSERx8
Q0eCukNRW2FduOfFlSKT6VXqiHqJjLppvfhO1d7XrjLkDgsrgRJEIgz3pXLabjMbUBjvRAXWdNPP
Q9wfWMQizPWnQAESjOkeOtgrIdDrNNiVLZ+oTR6dy3/CsNC7NNr1H9MEsNWUF5W91k4yQPava3df
+P0tdd4tPLf6Oaqt/Etu+OKuK70RjCfEcoPW48Zugmtk4VtgVdspkeVdJCmiOgmiLPqrO8vJxjAL
soLO3XC0h3lcQ4Z9TUFd0jyzIGamUIcK2/7u2Ma4OUeccA6t3Hl6FICslLdzgqVasWKmA0kD8kI7
9fQmOyysDmjGFZLj16Xx4BzYEwzxaV65Kn8SAimq4TU3LoaHjSlKBeRzXNa9UOaFX+TJyR55HuwW
FIjU6GlabHfnGuatUoQrJPTaD1HgQJpNs55FhZbrnK9EqLVcbpGGHZoOPZ9aoDyqJbvOqC4B/G+P
OAmtcBFZs5k6QBdpEsH7l1lxMdpJqHiyN5Hv3BVGMm3M0U+2y9IuONq7HiI/aMyFpetdBOXipfS1
uCwTiRWga7xwEl377hlNuTbQIYU+BWvQJ5V7aHGarCQau4MtlHXQgAM3FCmOFjh95dYmZLX5SyH6
5kupor10nXvVz1/cKSo3o0BtDYD7S+EZZzBuhoZ66GW5HYwmCgFZkcTgR0cd2Sr0zoxIkcLZyMcG
WVMa4GBi33CnWmO4aeLWv9P9xHfR1pfdHNHXnhYSAI3yh25GiHZ2p/ZKF8W+LPzh3dEdcgY1LlS4
MmxKUBB7TOqLzdbcEm0cbSoVdA/I2pJlZTF4ngtcYFMoG/YRfEyZJNK4HwleWLKrZmSUpXMEeDAz
D6KP541RddXWMxf/gn+oNhMvxCZCDTPrS7wf8ai/zkkrdbOarcgZs3DRVvuVhKUtuS4+1gOLc95J
w6q+TSQQ1Hs7y60+LPxWDiuIf5IMD9B16SqTPu7pHIgJgT2VEqTKVI3aty13ihZtCUPXL4aHhKr+
jZWTnhNhMVCHMfXajRuo5gq8h09yDV1SpJkU4xKlxZt3jgpZUd+tN3IR+UXNR/Zbp/3Y25xDMPGL
uMq+JCjMu3eGLHoPKO73a1YBBZvvaBDhMvtgQQa/eG/r1ivJNtHmSznJNmSLhnIMNPNXFcBf14me
dx0rlgd/dtKvg+Z3ZmQ8cPHxki8V+2k1lc6BKDz9TBWONkiqceZ3Q89ISOyg+ZLEfvOtqdFpZpPR
fJEN1JW0jbr8QNwCCAZSLZ7dqpnZH1bjGHqRW3Rhv2hejtwyXECyThb+dMinLLgOfYPJXlJC3rAr
hQOasW8qsKTCR1t1Kh6emmiMl41P89hfBfEYgQIUdPlBSAT2oS6T/DwGjfEIJyC5FwXiyEq2WGs0
t9N4KtEig0SvsyC5iC2wMCk81afBAkeBOyCKr4kH8MNK1Mup6nz/0klwB9d2rXaOUN790FkuktBZ
NkevTpLrdNT1C6U7fK0Dhqq45VXdlBVUy6Wfsu1YTU6xk5JYTTCbZ7sf0v5rXqKGl4qnSxG+OWZF
4FyjAKrf2iFub52lNR+04n6rNJt3ywzrxk+4qSTVzRcGQ/O2dtv6zT3vMNclqMAhzBoAU9xZtXen
gp81yAY0W6c51mYaXC6Drt+6uW6/oOCHWyBl860y4xZcRZ9wW5uyiI4x1YhdH3T6ezBq99pZGhSK
QxXE15NyCfsZPYwK35fUdnyIddZoQ2G1RzOaL1EyW3U4BmmMX8lvcBqXSVoyQ/VQEJpKIFsgJeRa
gdV/rBEhXXluX714sZeFHQSdBKriEkH18llE/iQpxB2wpbkVURgb/XDRFly8E4Dj942UeTGO1N4G
gxvWwoiv+6DxFqQ7LivwEh/4tWM3+aHNSHdadQFFnFBlY3REOML/8BMjEcdj3oXpUlf9CiBsTRmr
BHY4U7RGDkUwXey46yia84PZdudR3id1T8/Fcu9VkQzYszpySJEIN0eYuNmd37X1qw2m+N4IFjg9
dTkm17OHvxlVd9l+QWo63fie7p9EPWV36vy4QRn4l+4ZeNQ4AwfKjHkLZk1YKxYZybWjuWt+msw3
Ijbmd7FUamdMjouou/WjO6sgr7ARSXnp2SO/WC3ZHUv26REJEGSLcXCM49JSEt8gMJ7fZU2Zbx1h
fTurvEzggCUprOXaMypZMpMvxOMp3HZ3TsKWa4UQvpkPxYBqjWtnJC3IPJh6AfwMIXNWcp1naYXS
1lyqG8NOKeJi9+ZZC+0jR4N65JfrAMsiImr2TIMo0nVTjM27UaXm008+0zBq84c3pD3uJWtq0CHn
y3sFd4UYWKucs3Wbuv0PC20dAvtBMvbrmtvi8SXXOzECYl0BCiPOycqNu6ATzGbSG36Q1NbcdhGA
jr6x6qtumOuv5AE1t2bnx9f4mQB5nbFminyPA/NY0G5mLAmH0oi750apUty2hq+Z46uscA/VXHHz
8C2f2BNH27qP0DSiJZDUTTsbfWFk+y+L9ju89AhzhxzEsIMj79Dw2by0WyfrVxjf1Y3n6Hpbl45+
BHaBNGxJ3ru44j/puq7DaKjtNzeI3a1TEzNTO3MVAnmHHT4QAmbCs1rR0XTCrGt5Dzu7mO/Mop1u
WISMKwDS0ZMF/mSdG9V9FzinQTIlTkIo9jJtG459kF411H9EnwzHtKhbDovKU4yoYhJZMG/gBthN
QhmnyTPqayA40b0XWdUhmHACMunCHDZLmo0N4aQH0jCOwzznMFb64STisb0sgXAd46ScVyz1WQIG
tP8oob4GLrKeTJbnpKzB/j7kzrFRwmRK8/nD1s2mRESKjJNEQeLcnllvC2wFU/UWjOc+U9VtEyrL
hwZuNN2yhAXpkFbzsz+N8Z0ok3Erp3oPcKoJg9FQmA+bau+Pyyv1v+JrVshF8s3hJqFmw97mscMh
tYfsLNwNmT5kBuSGITIQjSIL3Oq+dy8KrHohJoziln+QFOUj46FviFCxxyC+6zUHIetH3vQCZDGF
aSBKMnJeAxV4T57u8r2CYgOvtthRLiX6SLCUWxVqJsxDjclJ+RRuKtM6YDYw3xIRjdvBNwCpoGUk
SA+13TjwMmpSAFdjRqkwnmfvgsWF85w6LgauqdryOjEBVym709hrgl0A4/Z9yHrrGeqZeRUUwdm4
UTgPdTKl64k17NZl7uLSdP5kulLeAj3XW3fQExhT1oWYAdp4g4aq/rHQarLWddypqyZlGCgI/mpl
TCX+rrqeoSrjYltPNSoqGgjkFXTWupceC3rEaK/pPGXHeCz3Xdbk6cp1jMsKE93tIqznDq/Dlldx
q/DEsVBzyWaKSO0qHDd6zLOKZYYzbDOmQBIB/E7d+aLFOFzY/oUmo3odiWSTYM5bYQ1xr8HlV9U6
GQPg9EjvD/NcDaezkblkjWZkvHBeeazjKb3OUxsJcZMuOe9dW7ItzY2U14ge2nAiYyr9UliOt4Ny
WfLJOROTgMFS0uiVMd0Ekd1czhSz2dXJAftE36YZ2QNK3LnSId9PTvsIvOzg6+yU85QvdDlKZv0K
uBcNnlU56u6Suu+8wj6yNycj+BLQM2Wf89pCxlkXibusm9o7iyVL2JmAgcwv0+y0h8qSb+bi/Yja
qnlhxZq/EB9LThcAq0eZu8bWxgq76WRf3M4eK5acqD+a3kG3rOMpSlC5imk/wMFQR8OuRiccpNBy
LzOTeKrS8aprY4yR45U4wq8p31RIsf0UK3qfk9bGGHXTlwIR9q3V+ORwKerIK0XMxS5Nxu57ri3x
Vuo0+d5EAlaxhVTzukEFcHTRkt7PhM2OX1pWPDw3xSYH/R8Ov8EgLjGvibFcAgiTfC2pnS3kZWE2
pSB5wCZvPbA+ZmeKi9PBaQ+pvMiq7rvuNUUEPffFe+acEzj00kUvQqfmG+khfOkrZ55uNMk1L1bW
sgl3ImXgg1ki/R0MFNh2axkCCbLJLe/zBi7JSicQR7Yy7oZq6wQjFY1+ShgeidWzwCESobpPvD5z
WWNW0QtJ1fydoAbnBzY7yNzQQQRLQoEN5SwcNGe5SV3kUmGJSkuyiQEavUqVU+oLteCqDLUoB4y5
IzaceMvilV9eDOS+B2ek/BgmTjAbO2M+LwFIFuGS2EwFl2kiHIzBbcGilXQSnpKx8Klbk9QTvQzt
gBSZrMhgWkWxW7xbfc9R+8aezXB07ODln5vpDnh9QULZBDUtWqBMk+YyVSv2E9XODtwYLCkWcrTf
56IAZsHy3kU/Vu5ylVLuQVkAvqDMpmxfm1SBrnG0T+a2cxf3YsZIdO+OKCp4hPRb1+M5IIP32KUe
0oIZSy80KoZhB5FfJqcA8NX7gM+ZV8ly6+TkGWbykM2DtSv7snwuzEDeZjJo8JPB2H8Yk1rP+4ky
fHTt9Fz03hpww1BqdzhrVeJFoJw1lQb9P7y1a54J7y61/2QOqctwFwej4/9fSkt/V+xeQFCNrIhn
PegfKtVpvgv6ltDEPihUuhPkXE7rHJw3610e57Ivqf8dR6UNgcWqY0XnJk6dHpAwU0Rp6a2AgQcn
1vKqk+fK3zX4fq0L6BQZeKoeWZW1TESPJYMt1s15CZnLkjC/HG3go5mCLyNkUxzpSbf7sejt2yL2
p0u0TOppWZLxEdPg8E8b7P81qJ9pUAMEB/8qDf+GtrqsoPyp15L68b9UqP/8rf9Vofr/hb8V9df/
Zs9TSv0fW0+AwZU2BaIQuhY0as69lf8h2dj2f9Ggs0Tg+SwOadRRgsah0CVAcvjBAB1lcJaSgLsK
zP9EhXoOuP93pRfiCnirswxVutTpf4ulppw69pXCauaWEYWjNDXMOwEt4uQPqt5WTeqj+auleNOG
jB5IzWgPM/kAR4PU2aNurWEtSY65rIRXEuy2DGuL/k6xwgNhPPg1oQOSRZjaVKIL1maSTtdmafQ/
0tYCaJDE+ZNjNd2mLmi7xYSinNiY4wkpLTmEbUPzyIxFO+66wlj2VVN4933ZT58k13/oy3EH6F3h
xeI2cE9pYv1a605n+vrVUNeHqQXR7IH+R4EIQpP+y/m6OO9/DZGbf6rof5He/jxeQMEazC0tGNoi
vx7PMth2xVlWH0ajRQwV528x+681NDD1yZE+9CnOR6IZRmmJDiAFhd/ksD3lLM139MAUq0O8hPMq
mF1jR16nuh/IIt/NSRrd/ceXJ9lan0V1aIyRCvx6eUxQeixKmInI/+dsZbAAwqFkSfKYJpfq9H9+
NJf2vI8dnV72RxluHPj4R4uU/bAY3exUtj/TQUDgUl4OHv5+rA+h6u75fgZntJwvQVw5YNJ/vTS8
CHlSZEIdmmTKSXEi1hBiQlNUoX9mdidzMl33bW9ejjqDIkNLuyb+B3ji38/jQyeI00B37NN4IvOb
Pz+273NTo9fu7fTQ9Cx6sDbN+IWoRD0EXs3n/u8H+30MwWLABI/4hIYXldRfr7lFfWR3rZceanNZ
bisyXMLO4A2ukxoUy6yVm6LuCTL/k+P+6SIl/C9s/F4g0Qz8etwMOh2RLXw4y7EZ6tXA0xztfmT7
qmCO/P0aPxzLQUANYDDAGMzjBYP34VgOwR3YZgNcfWYTh81EjsSqFi06SSiej38/1of59uexXPOc
2U771aEJ+et1kZ/iGa3BGFrmZSR8KJLwoJQ9mOHfj/OhFf7PcUBd0ej9OVytX4/TeznKpWpSh0ig
0SMVNeWinLmEkzHY7n2iFKrgibUY+SttnUYbUcTJ6e/n8GHsnM+B1AAmOpMgQRQnH8bOMJuZatyO
c0BSEdYmTP5VvBjgf8n4O1axzxrXs+dP5vOft/BfzcvzYS2mIA/HLNhyCni/XvoQe8SNRVJhnAaN
06ZecWRlN1/VaZnsWrsuNeHOFVG94zzFch2NtMAOo1dO300vb9pvNQ76YxaV0T4WILtIGuePJTVu
/353/nSe7jkigCYrfhN0Ur+eZ0Ya2LgQ/wX6SXpv89w77Zp874BHBNnE25fULiUWeENKuhNjdhKD
NVNCLZGREgjgXARdEB0m5dtXkK+03HoD8e5hlQRy2P39XH8ftcDt/bMiGeUX0oEPp0rpgjjGfFSH
IhDU2jKWnNm61PozEN3vbyKYz7MnBQUUf378NiqDfkFkaIWKtMLYR+o0JVqiCi9y7bj3f7+mj9M5
48RHAIGQjdJBgLDxw0XNvna1M6VM51VLP8GPSDLKkTLmvCrbyKrjdT2N84VJWecr6QTxDpZl98mN
NcVPVcivwxVVK+ZtuvA8aFw5vw6DvK0NizeDRls/tvNB5viaqUNPdn1Ap7XcGrYn3tyEEh06pp97
lYS6uaKL7a884ncuNLqTY9D38w3sB6tf6eZcFW3yrlcYbYvllCeacjbKq7slt6P3YerzJ3/OSXTP
W2pdQdN697KhEgOx2b0YWsGEq4vRunP7zLv3klrsO9M3LxNigchnr5XxACdhuSXfhpom6YgAhVrR
vebRLN4WdqInjTlxWQVTGb1TXXHrY1k01ARxAEb7RZsOqXqSIvnKlhCgV0aVOSjTG+BKSRCZ38q+
sB9H267BHkY/q1vky77nQ+eMYdFNdrIhCiM5YQ0ujo7L1GK2g3rrEybvCnn3e1wZvrUuC5aNuDqE
H69HRS7ZVmBP2I0OMPewlBQKfHhOpF838qvfjHQjQbIw3nj7YzpTYK0aKlitcetbZAdRqu7l18Uh
0HkiZ+wkz39XuxWnMePU2TRq1PjUVW48BJU9n/jO5E9NM4/XP29v5I0dILdE3NZ2k2RHJKR5cojM
2LOPFi2nE4nWsOyaJUnp4P2crXpzvmi7hRnKpwz0UpJYhMNRTMhU89wEC6ngnq2Alp2dtUIkD86k
nOe+FbkBakOUN3ZmSeShDr8zJoqdc1fHoW6kemvp4uJIbQk33QVLkNOcxbdyDwLSfvRLwNC0M7m3
BaL/N4gW1tbEIPqaug2+T14aCjMRJd5bF8tqB4mayjKE1gn+lTMkoXRM9QLgiqmJMIcn85zwubHP
47AYgWX7fUrK4JxQsQuXyWQBQwrRsi0HjKYrSeLIKR7pDawitl4gPfSw3OK9F4IEStY5PTnm0O+4
AL0qSG8ge4sBthEYyl6TkeyNavIZvW7mTBCjk6na9wk7Bs+tjAcPigzPMSb4Ljby9Ei64iYAmRJO
rTNd07hstl1KAFM8LtUGHolLX7Nqb+MuUQfht+UFXWBnrYqc1raFude0y+XYN0SJYTCMHuJOokvp
s1eCGbITPvuMlpArrzGBk+tOyauh474TKrW/AkCBWUafT1Rzt8KEYIfCmMiLZ8+3NmnSbbEg4wZs
yzwjcsuxngI1kPBUzsfUJMchIVh67JPqCKUU4YHR4/YGEAgfkMsCR9YCt88w82FSW1kad3znOl9p
XtunuFDX7QTDf0D5EGLJoQsQWPYWi/2jBxtwM+vaIrgxhwacQQ/vIJfgTBTrjLg0kgyFFwY1ogoV
JHc6md+C2nqte0NvUqNAVekBEaJuZh0M4X+hQkSDfbDrfD1PoPUiAt1fSI07Llj/VoOlrhIPN3zm
eA/DEF1UpYy/dLW1bBJKc0e6skzAznmNVFjzlads+9Qtms6MyvXRGOj5oiC8zGQz+8hVilTqgApK
g3H+RyNowM9mlfYrCj6kpmErTo9m5ZwBiEYsL3s354SqnGBbOlHW8ujiqN4SHR+RmjZYwQWZfs01
CyUnCUeP+SKTIqcVM8ePvSXG+7lCeb2qdE3nvx6W+ZRJXNMRuUJbME7+97RQ7WHKvemQQNLkoKyi
T20s7gCdjndynOeNvfQkK/D9cVdgEQdsKHVT3OhOLmvJm5YfHIPoF5QMVbRuZ9YiSOf5Fpaehpgs
FVNROUJojvgiyDiQ+zpl69Mz/sKCZd6WSqmz6+nrkURZW8W1Ft2TzM+pAKMarhzwjsTQ5RV5gZ2X
Oem54F9cGPR5tmWauTcC5ejWk3383KXxeGHT4+ggMx7TsQdDRK02eLHTSUcrlzoZklnmyUNJ0MbR
bli3ryycQPtlKBiYKWsHtgi5cUvBWW6Kuf1SEv9EU6IbvvZO6b93zgTeiShO68EqXPk8jUuw7ATS
pfXcjxQqq571WDk1+3pZgiskA95tm5MKR34DVNOukRBDyN4JJpM6WW327Y/agt1Qj2T8Np19koUj
qNyThrJ2yPVDXAc1Ly4lIuQ8uM2jhsZEBEaRzX+aOJQpaKcbyqD60OXBkYca3E9uj/Qtic4x6Mbg
fJsWoW9lZ1A1IKgx9KEMhb7HEPDSsl7N1FZ3ozSIYva7YTP6ynnMZl3dxJ22V2S/pocobawTd1CF
djGsmyEyd4PrMrCD8kSot1hHRWDdxOhD9y4KlsuA+N9VWy/ufeQ2Jj2LsYJLsNTbnHbia99xSUw0
zXrQo7LXPrAmEu0j198lQ2kRpjISwhjrKH4qyQG96oVfXYslYtkf2BW5d5pGyGbO8JOiKhxyQhBK
+RW9AEWcqokvJlAfVRhFTn6YjWD+0bEdJwJ07G9pd08+UIhg0FDKSr7plMYRGVSDe8WOvd7RVJNs
AMzqmMOZ4O3q6tOYFvlN7bndta+naW83NFbXKvD3xbS0h9EvjRXxoChxKM+f0r70d048FG9Z2Uhv
k9VB8+zEQGY9L83eA7cggbGWpOkZfUktKc3bJ4nGouCnNy1mGuIQXNq+a7K/h1dROylKNEMbh7ju
Wcv6pgATm5TU5wGfXSBPUGtBlDNPXG2ywvo2GgEhGFhA4DwFtt6UcTyfZNBXb9Ish+MyYfrwA76B
TWIvOzQBUQgHoLsxxaDf0jZjzm5yvhpMAm2G0xtpX5O5j53oS6m/4d8itZWS/ZS8J6ikic7SMC9i
pyvZJnXGe+Ml5Wlya+tKjW7/aMTR8Oa0yv8a90FbrsoyMHKkXiCU+ezNRS4LqtxFuTc8Zz5aVhqg
KfQGolVMdSWyogkN0r4R6zXUoRV98TWrqPgKaJcMIe5Q1bCa6OCCpydNxOkgupapODmjysM8G/lm
VNY8F+u879EyMzkl8CDSZtqb0dgdSTete7LPrYrpbF7ie99OyZpFmtkf3GDiM2JSHWJc5gA1Y70Y
D+CzxDagUL6p+SjsbFF3xxqeyLeavRE7DOAWpVFwF1pfvUQEMEKNZIlzSmRNaqy0CFPyhB09zZi0
Xw2rNt4trx8vwfXGD265pGvg+OZucqaA/HY1rKzebV+gFSmWkwKSm1aPLIwjtM+ewHPc3Hn2E7Fq
6J8WpleMigyq4km4eCiFb2BinTKCp0uIbtLfOgtt3raEBgyKj5QVFiehRJZD7xuJl88em24P5m+6
4m+owRKEeOyTV33SVXwq4z0dHwtM3PgDK2mwYy/vrJvWCrYZuQfrDIqNpQt3bSq0lYXbb2HHYhTw
Ce+REcNZpJN5Mbv0jRfzdan54aTq/Z01A1hCeEOqZ6em+8azoHD0kJjTcniHQUZkKSB9UrIG6wha
SGAnTaajauccHAzlAWs6u5Trtt/RUhZvWQeDmj0+Xx0WQkenr5yNRtKBCrbTl6Kb0svMnHaZB5KJ
9I5pzabaC7txuh5x1KwSZ/L2btska1EMPluTOsxxIfCBqKKbiSSEVUcU0tbv9I+uNapNbVTLzvRU
hR4+eGlnWsDtXEPwrKkdLLE4IJ+67WmGKs/ZVlECOaYPrkj0PhZG83Uslus+i45d5T3WbUTUb0XB
KFfdhdcu72kTP+GYvCNhYFezml4T7fQaCHWm11KklF3wRuVNr5c27sPAMN3HKlftRlTW2xSYLKyM
mEk+sQ6513YhvMht2teIiuUINdj7VgwBbkuiMeGdGOwI4rHvnxd7+QZU/eABiNo2MlckWwdz/Cxq
HS+0l/0MgmKNQpCoYlUpm6yczdCoL9Mw6T39gEu3eRT+0D80Pgr9RCtcUXGylyiC15hn+y+GhSd3
ghm1H9jDXPZ9a+zbKT2/5rM4uraSXzw0RTtVNPQMdTK2B9V4lEfH9LydkEEy7arRZAmt2sxZ0ZBb
LjvkA+02KaY7IC/Bd2gYs3E06pyCzioLtC921oCc66LzCwTCqyYZppvcas+/ZzVZ+jpTdIZWhVap
O8RFx4iWI+FlK6qaToqGOM3NLbhmuuwZ66G9tHtpXHV9J1UIbjltVoinNf3vkS1nFoAAR/JLKj2y
RR15vIAclRYDwVBsRHBS0Yi1/IptUcyw74HGRjl1pnNPY6766Gsfs0GIjIY9RoWoIVULLDK+cU9+
E80nw4ExbilpbDrwVOIqNVw1bLpgZtvRS6alURNPUZJizkSnpuFHuljjdepB1hZmtmwRxWXHBL3Y
17gwKHLHjjTvTO3C63VbdiLxMog3+DGee+qS4bzlDTr43Qn06ecGom8IEcwTu9q02wNre37a8Epj
k1Rs0InbiZftf7N3ZstxG9kW/ZX7A3AgMedroWbORYoi9YKgJBvzDCQS+Pq7QNvXstTXCr/3Qyui
ZZFVhUok8pyz99pYOKivJm/45EG1wQe++kecpLl3kQHnQgFQbmL4xDzyT1ZOIkja29HZTlyaAj1F
fkDu79X7pOb99VTjGLu59rpT5NnMbPJCHSB3lC/v/0QGpXWBcu49EmUtD75L+qtl581bXw7UYLqz
6BIE9nQ3kTi0NSg2mfUslfcocy4mHnWCrZOh3b83iptCM0bRdbAdMYxvizIFDoRWWh4MyVsskyk/
e8tQHbzS7T/W6cAHYH4M7zvRy0NP4+UeWbZ4YTjKt17lJu950t2pcyu0TET47N8jmcjTWm406SwD
IiY+F0Pc6KlxKfuAVzV16M4ZBhSgRelmHAsUrQhgJ+jgC10RmpdsBiMKh8js5BZKp4sAKWLizfo3
F+Na1nHzRvMvZdSb0VEMlivZYX6ASSEHWjJtNOBYgCa3H3IYCNcFQP9bV0y4oTOyoPrFpXkVLfn5
fd0ZKcndCjUnx/+hAAFWLA8JrHLKJG2s7y9pot8MIk5oilBmPeDi5poUI1M2yJCIyJW+Jc+Xy0aT
MnQEmlOrEkCs1lZcTxDijT9H091STChS63TZQ7hfbgbH5HdLtf7CIvMeY0sau3eoTFPU9PNX6hb5
8iaab34krxCT+JUKtk09cLWEp1mwoArmG8Uv2pHmLN1tOxnmC0l/TobKLMeX0bPuE4PjtfDps27f
G0/CsKLfFtwsVypjNdkLvzTTRv1GKxG8M49z9WGwtLiWAsGlQm34BkuUBJ0o4daBssqXaY/MJqch
OkdkzLzlfj+cZKsNGANAxU216YpIXCgO+IQVTvURXQMw2DCIpuogq9S6pm7pPg4g2dNNaRb5eay5
TAoY2gX7CiaS9Ya1+hzE2lI2b22Q8tJ67NW5QJR+Gmi5IpAIjP5tWV1kyHwfhpafk/hIrth8P49u
r8JEpJQeQ/MFQakMYcIEh1510dkc+HaGIeJm18xKo3GWdCwqeRg6RZxh7c03Ni3wm6ZU0Ws3uaD9
Fm8RV0VsiTuYhNEZ/jfvfKDycbeA7+QBDxTND8aihK2uq2BqaM25zWoIwqaHdSAg/GpDGCurBC34
Z+B2zRujSKMOmcVyT9edS1QD1el+hNLxKh2uVOzFBli0KPrNjxo+sBzWNdiZGInhQhBjHVtIIwJ7
Xo6Gjx7SD3zKvgCY4K+BR50cUmDoF1CxGoR3wBSq50De0UptYjzTiMc3VpO116JX1S1yoPEpNafg
a6Nwfqa1lmeskcW8iSeeTA483/3s+vNK/mIFkHkRvWaei5S17+wuIqiBBve2aNJ63r23hP8rdPiZ
0AHjJt3v/x+2dYW8YfySz3/TOfz+Q3/qHKCN+gyZXYZ1zF9o7P+hcgjkL9AUYG2gY8CTyQDhL5WD
/EUAxmHuZtqeZ+E3+z+Vgw0MlZ48UiLIPBwU+al/Eeb1PekF1hXz6NU/DzEcPs33kyhusaQLsO2d
KSsHEnuwvD1MKJP29lRBAoEoceYxnRmTPjWtA2ozqwN5QRYwHDu/VAe7xQsHZpNH4DeX8T+JAazv
B3XMH1zIIHCPECGQPvhd+1/33PO5FXgnH8dUfSdlbt4FC0UM6MTIzTdirB8hThrOLu1o5MW25NFA
sV1Cx46+BqRb86R0g7bbNbNPds7SGJRzSTsNoZP04pWE7QHrSKEaHpfKMxD+0esxiQBwg54IU28g
4HfKo2XrmDkIya3ANZVT5zmgpT8kuMPoqRr0Wqmii/YCj5A4D4deYknjspLngIH3jqKQirkjBSUY
k27cySmw7zlLjh9kjRB06tpSbWSB6njDwbP9XM6leXHI9njPkWkyvIW1ScxEvsrEcNEmxXmw6wIv
CDrxlWZtOw94xbY5Ldh91WG9imLj0KVLd27jTBzG0e6/pGbSkY3m6q2X9Vf4ks9N7fVPfpVibZB6
Pvj9OFyRdaJI5FBEyBCSSYiAzLzbFmsqouRkb+CgoKMKYvZC++3VtIlgMIBO1tslL5IXK4oYyZmj
O90YTBkeljGXmm117ne01fR17C+PuImKu26GaoFzHzpzP5HauEcP43zu+pIHR5P0G408G2MZ/ivv
QvJuc1E8EJHTBeW9S1Tuak5HnXljV0UPsz3uko0WRnq3LO0OqjqlhCygy5smLcHErk7aa9xDUZTV
vvEHGs+i88awt/GzLRUdbU1mBr4gaWzIPcZmZtIscZaBrNQ29h646u1VAH6XoUxhnmNhyzNj+eCc
MMPA31qZxUsziP6pXoOz24nIuDAnr+OR6nm5tStLX9vK9L/GfuLtHahNu7Ll06MNAms3q25npfXg
cahTzh73BITYBgT3W86yJ26o0yFMa+JI+ni6mL6abiUKtit36sdd4aTy4LRJsRsManKL1hYfaCUH
84jj6bVwzu/ShCUNtjTak2VCV3Ahe+mFKCgnNDS03SiQ4w4urHiz4iwJS+I3frWIKb5pEYxuCeHp
jk7jqCkcwMW/9hbHmzAix/JkKS8jH36y54TDNaHRB1XTT9n4bk8sitWWvhW6EjEeMFg5Q/4uqOho
eRtPru7XI7pRcFRBVHQl0R67EL/N4qT8BYJMKQpySXDjUD1OXD0YYUvoqGyXkZixL2bLxaIYRM6X
cnImj0CuqXtapqa6XpXbXD6S629cN4v2dg0Nnbyh9e7CSONs4sKJ1EF5hU3cBWaWBx+Bo3vw89o7
4Qb4IJNp+exD/ttFU++cpLd2gbyZhI5GGPUtO+H0qhIkUZsm8Ag5LemFiG1ObSiJPKqmmaZ3539C
KyZHuLxUmpsaoI66tcvGOWmxTFTusIkyQORDUl7PtY/ZXs5KnWq0owz82USAAFC73SHIBp4L+Ni6
6wtnevA6RZMSf7jSmxkF0R1ttOaA2w2r71Sr2th3vcBQAsfeu/XYDq7KRBYcmqOifMaF3V7S0R6w
7hWWfRO1U3tttIytt77dmpi0svrJry2aZWJMna1Z89891igcHTEnZ7W43Q2hvMl9ak35BwCg1VPg
wsVFC1Zuy2aCRdLUbL5un+dfsngwoPM7acVB3e68+z6dC+OlwfI8hbpt5cWy6frufFQVfCk46rq9
Y5by127BvjWXYnqNAxJuqKjVRQyqPTID2NJOMvBUQjo+kiis6I3AlL9KpMoooFX3iL14yTaR8JKH
VbHzsVZleiExshTHvuvje8dxGqQy6IsLRklJ/6kmcYGQMVGxO3Sr7zZCn/zGSKJFlgqO54YKXtWb
mHKFdAY7QLGdz0Nyx1iPsRh6f16uQO+M0WaWF2ngn6AD238CyMJLkF6wXDvszftsRo3U5ZbetZPb
7tgb9IkhevSCjlfwB4tuoxxu8tzGizmbaKU345IYIVm4VhUy7vCvRYyhZePPVrLOWgWRw3oiw1IN
7UijwfPev7ajESRXpdkZyWa0+ZBK+DuaDV8y25y2U8CwI2+1/ZyKoTkhnvDvJUhBXrX8YrU90xTp
5vadBvmMr4AtxyVDaA6iL9ChTxJh/AZDgA5jUdLRNfEENTSLb2e39g9ObdDAWBZt3VXc6A78mmC6
xYsMy9oarS2mKbKjCInYQBMzPmVT3j50WHKuHJeEjtWeUb0yd1BflF30VzmQq21X1vqwnks+F0Ze
f2GVunboAOBk68h8Fexm6CDXfa0I5eRx2l3ZQav7jWsnvh2KnkQfvNvG7Gwhi0t7P68u7a1eRvPZ
y4ah2rVem392Blhqu1lWREzETox1OusNRvNDMZSaFqU/vcG5LpYDufLKCEdldq+4wPJnhKp8Xcmb
4WTqzsBweZlN7zHXkXvIsjIudzZ+6/cOrX3Tp3QniCcR1h0QbOfEEav+NNfRsB9Go9zWg8n3FcHY
xkxmZ9Un221LfmeqvlqgEckzj5z1IdqVN0Hbi+ue7Yy7qJ8xJjBLJOgCjlQD9XqIWCC+lb+h+X7t
DQEZfEbeGqLPbs5ZEBkkiEyB4WxsrNhJOBbUgChn2vIyJeZwWyOABFIv0kdN89cG6wX6hvrRQgve
95dYrkYMN3BvEsb6W8QelnWdgjt0t1L3fU9gXWpj4SkBzkMuV9som/0vU6bbz4Fs6eF1iyHPoJCm
9YDpWt0OeLDcQdEeHNiG3UKukreG6UEAuR5oLjibJi1Ga0M6t99u/CxT161YaONP7CMZwXcOGdAc
T7qPVkYH7kEhT2emx0P/gbt2wePFGoh2si68s8o6ngTQ3Kv2mLdcTxRfEcHig49DjEGnHTwCNXNI
w/CNnvWFRyjocjbaRNoN0TVekd106DU1ggm/vF1TVp9pRbcXYU/+pzYKskPt4VUl6i03viCuN85B
7bfVoe07XYZGTBw7GRPLmouNsoN2YyPurRRN7zloUnkXj37zm6xMB369SRsXnFNhrlMigwSS0TOh
RTM+oU8bzFbt/X7I/m9Z95OyzqIQs7+pR37Qr9//WlXwN9Rblf5Nwv7HD/5R2vnOL2A9A4GpBKwg
AiXxV3Fn/oLPCZUmxQs8ZPsbCbtj/cJfeSiALRsiL02Jv4o7+YvPA8rzEQ1Rj63QoH9R3KEkRCH1
rYIqgMEC143iiV7NqgX+TkFVQnovG3M+unhO5i2HdzDhbjHZt1akuQWllQkO18zky/00eC1s0b6j
tbQ2jTmRkkUYJoWJ+6fFj+duEwSGLEtSzbedRA04RMwyvPmqnIW5ddJRYyFDKMVQxugRPgi24MUr
2KEMu6eR7i9zw4g8ibB4d1myHAxh1c9dP5NUkLXJLUJmc+cby/Ihsgw73TjYXHadNJuMrm/ZPsbo
aaqjyUM62Apt+nQfbY+BtahXEr9n01o3G4AgwJ0AYSTVkTom/dUQQCUn9HI3mp95cWfEDwwxpHOd
lEXEcczvTfQ1kKV59LqxtauNyb2XQVxcKVtmd2mdDDeYbI2DiLIFExaz3k09KL0jLSOnMogzFXL2
iUOtp3FjdHToi7LERySbCBFF4SId6rjMxP9xjBitxDxXHoGBFS7go8WJe8d2IjdO6ogzA/7yfkDY
th+8pXwwl6ImJjvo7hJIFxb+37w6g4Ek74CiPcynxN+D1WRO2wXlDQVNbO5m35sSYLbg8MPKNT8K
3x+uGU699G48PIq+Z2gckE3FMRhcXrMpyfmEZDLaz7rIIcWMdnDAgkuilqLrdUOAJsmgtomlaW0P
upx9LiuBJtt5mOTP0AHM30gXqHZOKZgC3peyqLb9BAOI8Ih7ZyQPb81XsG+F0Y+vYm7iDziw9J3q
MzeU0LUNTL+hW+bGxqd4OdiVLs6yWOPpkaU+uObg3OSO9TGdHG9LYmPOgHBc+Shx9AjVqsWg75bH
ySyZTYshzPMsu0Roj+7Q3vjbSK+MT6xZeWYHu9KZpjAZTQb2S12ujd86OmYycpk1lgzMp+mLiKSx
h/mPvTsZCnFhkccb5uXtqV9EicNO2jtkk4hzbMvZepX7ULPaQuHLKwIzk00ZwBcxkv5lKVNcado3
9glPSgbQAe+yJ2wiHkFYiVGkpN0mxosD0ODUFEl7cYumuZk5C539oG+hFyYzJ3CtwgKmz62tWtYN
y3baaA+4CQ5SfG1VQvgYlDhg2t7o7lCp6ss8DTjF49Sp44PnlHMsPgQRoepQG8SEKsoVi+ON22xK
4iS4TB79zgZBlwzGR8vK3enR7T0AdRu3hSL0jF07znamm6VXXmf6D0PA4eujdhZU0qPICntfyZo+
LOyimddX6S05yNZHHp70OosMAWLYRRzmdo6oDfeFrM4qO02wDzm3cGjn02Q88KtDVxudelRp6kyP
A7GpPO3j2Mjs29w2VfaaU6Mt1RbGSeVjKHB7K2T6CTdF9ZZmZxvTOH4tRRoXYUbLme/HqEuW58RJ
f6fnRTCFZUrFxw+m2Y+3BQ/yYNeW9pDHx3kInFe639Pwxc+lyL1XrpEc1YYpQ31Oh8p2aSdE+cBZ
cUpL48i8OWUSS6bHQNh7PnpMW1vbYu4/dJwkcbLo/zZgfzeG/exJDe6Vp+r/34C9rTviFEM8vkX6
d7sZtp71R/98Vru/wJ3zfAcat2/9npr4ZyPW+QUzEABwgGzrM9em0/in3cz7ZQXfQtpC5m3xY/Ro
/7Cb4UTjnwpgkfRiTWhY/yo43X+3/3z7rJZ0fGnCwiPkHIHemfPJtwBIP9dtiXgrOyJC5OYQMk98
WDoxZCZLdVIjEGqIFkK5nXgn+Eaxc6qsSgbk0zLfCq2JEMS9vegy39VuHbdHA5DXRLtCVSUaDRC1
X9mSgmtGSM6JAZa4xeXpnAZnnfHNFqnDRYNxWKUC4OWUEUC1eacilAsABskE6pV6qHltEEd1O5WR
vrQhajm4Fgnq5IoOxW0pS6MKayhZSDlqK2gOFk/wbtfnxvojdoRbNs/S+R5nm3weIfxanOjXCRw8
Hn2JtSufy1ToS5cBr4nyksGK3UDauYsttO7n2u3q4Iwppv/KqF08FVWJ61oklREKas90xT0wIkOg
M9KGI7R100in8zaWFXdHIKbiycTu9+ZbWt/XtTEebXiCH5YJE3Vl192RtiCedQ++z21srYrexo+j
58wr+NVtmzZET0hM44dGLv3XrEtXz7JTW0/okppXMpGZuWm74585UJKvytp13+aYn0MEwRtg9Mm7
nQpezbRj6ymLONTQ6PSgMnlS86mdnNcMchtcMNSDiLawuyjawqZ96zlpeQXAiudAbmTXAao4KqdU
32RRqsDayvxUpT4/4xvr9YRfSHRPqUvD27Ku+Zvfv1AqjLzbxgQzPFvj+g0TlK3v+Ur7/sWb61lf
T02E4VnnBKZvTcir6YMBMgZCPm4LgEg8sdJN0K+2dlD6XJcpM3iPiTYQJk+zA4PIN8B0HNqhdNWx
wYZlfuREhIa0KBej3gBn+i2JRq6EqSr5PBfTBe2quwc76qG4xVLyvFh99uArRzpwr1rQlKK0niqe
yK/0BNdVC7QBPhKtwT2nCX7TEln86ScR7y1ZF9EA3uoepQX/3x8Uq8Hqer5ZaQ++vcPoZ59wzY3O
TcHRCJB93LP4DAu1RKTW55I/NcNXfDRTvDOHBrLH1HIT+lLzBRP/ias8kHHvbfKsQXcM05M4tVzS
ZN7BLWK9CW7L65rIM+f4Ho1kZArHPY4p3ne6jOlCnnWkLyASwd9VU8mKicTYf9UcVmJSeziWcWxk
ncyrtX9cvyKQX/YJqVPzGojVvj+0ZnqQ0F13Ph7+A11EuYNY0byujqXn9yUM347rm/ekEa83O8mJ
zWvkKX3BLcYlmax4vteQKu7LxaqvHDBD+d7yHPlMviwXbqgb2w6bImDBjL5ZXxWAblgB6y0xMmI8
8Lzn4s3JyJdtsnGkIm1fF7/rjq3bIF73MFk+OaiZno3MpJptQBzUqOsgnRadz83p1bPcLfRoD0Xi
Tmp9svJxzNQ5pe/pRq05868oo1hghs1NjneQ6xN1jnhS1sCnNhd2EMcy7ZOf1PJ6qgsATcgCIbsA
WYj5skS2AKkIuiAc/T6x77NWxT7qjH5mP8V/v/pa/COCFHNvFpjZXQboW3tK6DbqOufz2rpjsLKA
S0jWaok7zMJJqcjAY8cqrXpKLnOvm5s4G9fcTaAOtFj0BSOEcwrg98sdLW1+zzvLJs/XMf/AlmGa
kXga3GbkCpaOvjTvY3o6fO1rbkbtUaICOtAtsp58wFC3Xl5M0Z52b7c89lK6zlGPbJE2x1Gy9tDQ
IwwC1rClYyOeoEgszTmufbAgdgWc71xGIK04ZqWH0bHyJVQT31KRAlvpU4utGWkna4oKgwU+ozsh
2qAv3DdzookcaqjTT+04i6fMnad5SxghzZ6SVmWOVmmQu7pilU7IXAmq81pxm9ZSPJUlCeaEwDfg
55RcV44vino+O0BHW1wYwCTIAU4PaeKyulf+kL2uvS51RXblNGN3HIUPYPN9zTsW+bChOfCZQ9qV
/AkoRdyOqZLProsKaGeb67anJtEODwrqmd4Tq8b+1vUDM5DEXtejnPsgbNpAPhv2whf5+5YGpzel
x+9PLCWEU914yjh9k1CjnInJIWGi947H3VWQQ5SF48TltQu9f7/jEO45z8xJtaC17XbJ/n1nretE
eIeJqcOzoC9GYjG62PyjO9nsE0wheKNCTUDQksF9Y1old9nYlg8iGa0wiKuvVaLlqWvWKLGgJYZm
FU2zA2NGEbfTQizepuD8MIZBHTRio5OkEsmdNSfzke3HLqetiEeOEGBZiFIOiRqRV9iOEeNYfqRp
6/WpLB6WrPg1M9PCD8JiMBA/l3l3rAa35CuqTO6anGr+tuae7OBpVBx2jYnhC3SLzvtaV+VzHYvu
LCM9EtsGPl5zDrG7J4zPJ0QIXF2kO8VTOsfNFc+Y4J40VjPi3lX2Hvt6ummFGG6B/oB5GYs4VEGc
fEj91gX2UkWf2gFknVW31z3msLAbfFSlGfcAgYK0oKfjMMynPkFjiBQLZMm9maxiUjl8rNpx3zR9
uzfQpt8zvdpkpX+JMLmbH2evYAIMxagkNVaIumRXhVdpO7TQF9ukV92YDYHsnrVUIWoalwy31snC
prbKo2AgmDDXaIicdnIbLRADElxNyx5DwHR2M3wliFinGSVt1STzfvagdCAcNVJAz/1IAcHgAfsE
KQV3AWmbZwCiPOZSxPspffdhU07iA1na9Y0BMeAOFmNw9q2I1YspbOMlQb2Lg6xJaHFootZyf7zq
tDJvUD3SYOwNV78VgFM/MOr+QJe8LRBc9c4DNRyd3qGfghAYntwHyla/0XGRn/EZ4Vma6P0vLLJd
6yIyDLq520PRl0dTtWo766HclUGjk9BxSDpmlpzdBABm0eaYo/c1G4IKON+EyrhIzV2cTh+kRLSa
p3538KPpk4p06KaZ/znGO3xJ3LliiE5usZ0zB7MGt3voTS6rJytvB21Pf0EM+mRkhCmKqe9vgjRB
bAgWNKyZQQAtNpxDJJV/3cgUGWnbP7VEHGabzuNktOvLtsYIQwZejqcqdCeitGLODWe8gQLFMPpP
V9awquToXNfMe0MuWrVTees+aq+ugUa2wQ6SDkJmdqwNKyS/d1osGpw6jSUXdzwEZo58qtqjnPRO
RWfPDzGUV7uyq6Nl9N0hWJ8Q9swsTsdyPLqMcwGizsZrH2lK+qaTN0vmPowpekVSlM0L+toAslMx
fLC0ZVzPZVOg8gx8fg4Cqvd5wN/NucSylvOgq/aQpUP9knF853g3QiRifVv504rAQ/pqG7em15oh
T15/mwfOHoHjvM8AsJ0m0/ffjLx8wSRCF0r4RRmqruv3hs+ygbw1gQtbyJiCtpKgpc7bkM0/Blxa
8CCKk+GkKvdrk8TOzhoE8/HGLNbdSpzmrLPfos5s2m1U9/qFE/GO03XHSTA1q+2cm/luYPL8FLXs
KOz8XblLawJBjdTyj2av7QNgyXnLgHnmSyvEdJ2Mhi82DfmK5Jz3XtBx7QbXvKgpL8SOEKdu5iwO
CjC7pJEgHnoNIy2O/tKr+CubfwzrzGrBhQqIcIaqAOok0dJt6tiODsTnoK6fu9Q7Bvk4PRt5bwU8
9iKLefIooDE3AxVI0u58r6tvkO+l29QepufGC4rT4kHukngzgc0Oy25MiDyQmZ/uPaswP0yxDlji
dlk7xjmFoaUsNtIylV+ktOPruC1vCY7vP8JrHq/KLrjx8qoPeXhFjyUTM9DMPYPfkdplOOdtO6cf
e68ZzVOZe3I4EyKzWCP410zubWmP7USP1eDkFFO4RXcRU21Os2hzEFGkdfAatQWbepRlUzOzfc+m
xJUkGLQeGKmQ0xACugDGE0PkwXhITMqIAQ9xZ7u3RuYgYYCBOmbACmX0qjU7/p7+G7RY0y0HYiGZ
ggBeHTmDJl3CaQtAFwcRTyFMRP3ZFPPZBI10ma0J05BPhFiJxOE+YVj6s7iyVQn0XensUthbFNAW
iqrvlULAGIuUoJTsGNV0DrdlXdv64+IsY//izChD9k4pOY3UFdAzDxgcD99vWg7/Qay0dvO/fwfQ
wPFIga2xeRffNdqnxBP1Yg0xzFA6xxvgT3G6HaWIrLXvCb15iKMGKnqaxCj2o6XaNQgibuNqgE1p
juKWNiunyn9+V//hski86a7Jsd2jj/gd6aCyx4jOOLi+CtDVAceQjnc6rTmTKopj/DQWJ58RcWey
NVTcvP7zq//o4ud6rLln/I8j+A9pPdDQ8rFSC9dkLiiFMtHOTNwIoC4zvpBkdg1O0cxvn3I/Mk5i
PX5XTuFkV8ppG+vO8WaVQ43PB2T9w1pBN21cZSjd6XFOlc1G+5M3/OOX6PqMX2j1WyZY/u+vl6Kp
Z9hGUByxRiIUlTNi1zDxcBdvOle6bVgR7rfzdN++lU4+X9qBXkWbUMuj1OwuZdX+RAMn1p7P3xc2
AjjbQYXn+LbgMfz3npCBr3gZOTccu2xV6YLg1hcM5/K5p8XTbwJjLX8nCyCXQ/rDqVHUF2TqdsVB
YFtJoZQ3aw3Glf3nS/V93g0LHS0jrWgYGogQf4B1+MpsuhLzyrHxYk6oEADrYtzQQO98vQZj99Vj
k8D4xmjAsXWr7brPz8qx1GV0FCLdRE3y2TRnqmXn/VwsBspYI6WIgn3G8T2Ne87cEd7jTbf2eipp
cmfjoKdbkvudHm9mGoNffy9K05J023FZuwDV3OgLSADocyqDFbue494Qo7C2sAPmONXgFS8/+Z6s
H3geK8fDZ0JO38AhieA7qWIijDadlW+gWnDZA60arQ5+7rXUqTTvno0fUJoVKOOxshaaJxpa4Vs6
p+PyqLF0VI+xLahO3AVIdEYUINurY/Gn9oFU797bQ7bVrF92BxnyepzGOD3WMR2wMPUbBXJStd1x
mUte3bVymjceJDhWCAXB1/fv/r8z4592otGPf3Ob/DAzvv1VvX39+7QYbgU/8kcHWgiwZtgmiOBg
V2Q/pJf8RwdarLrbP1rOjIfZfWwf+C0UHEFY3V8tZ5f/BGdktQNZiHbZcv/FeBjO1d+3F5Nj4Poy
1rv4F9DUd8idBH+xqroGHzARbs/z5Lin2Rb0PtylWLPXy7bd6qY+e2LVRdWiVTtziVF0chI6jFbf
XrsRddOLm0COr/2iS65ajRgjtJpWg7XqnPnZVo56GXLKyCGemdw0M1hAqQKFP3zIhq3GxanwY8/i
QnlBk1lF6o5KhcohMCoGqvmCnAY+cDftU7bdo99ltE2RaDC0bebhwM3R1JsGgloeAt7GdmHMtP+c
mUHoPtHBFB9BVi0jTc0MJfOIPxrIfJ5/RfDRgg5wFZDzqdR3EcfXeMNckc9eNiVEhEynuX+q585B
IYzppjn0M8e8rd3jOj1jHZyxtroAnmOjgvaEyUqj/uAN0k+LwH1sUNiU9gOd8PpBEuF1WbJc3bXU
sQ2CUpIlE3Imwggl0yFj5zyus9M2zJyah2aqB0ANRBNUW8MBTNDcQK34MDQNPngI4ZFZD+0xEm46
HsrIim3/ELhVznGtS80F1UhWdhVwAuQqt7aPr1GEw6yMk9OLegTiFLeJF2ZMQyp0RilWq0J/7Bt2
HvvCiA2DA8MVZmVuGmGsyWmGyGgH36GT4HJj1AJNsDr8UR/bHtZLA1raXSRmA4kyQV1T6PaDTbpI
OyqGz71pQL+I6RL6NQd+QOfYQ5Ii2rZOr9aFQwgmZ3l32RsafRjEBm8q1HkYxrExb8VcZoPd0bfo
aR6Xm3yypl68xFFCUfSq04JYkK/DRMMZ51u+AKd9+O+GVw3pMP90w0OY9s8b3vQ/rxCAvvU+IGlZ
f+jPoZv4hV0KpyHPRR/Ji/+X+8FH6gL5CsAg6hk03R7b3J87INscwnxYbghhOD2uB7E/hm6OiftB
IpkRIJcwLfAL/8UOyKv/7XgVECAL2hEJjgnn6Ad4k1Beq0wzrk+Ao9cefhW7d3YHxf7dJvbNpfkP
JcK6l357lFtfiz4m7Cbcygh/vzsiKG6CpQ1EdXpv6C7oW2+RWtCh5wpct+2/jbJzeD0HYpTlY1Fk
g/+e4dQZlErMKng9OrGcG2htRWxo9BAHvWLa8XXbO1sH4mnyUuvpnz/s9+chXpxkNRq2JFsBWfz+
PNQalPXIoavT0g3D17Ig2YempWL4uFaEmojG58gyf5be9x8uscvVomGHdir4od4BTpvh/fLLU1fC
q8SVMHxl9smJSKZACGKTccM/f8wfXhCJo2nycqxenvTfPz8z0DQNfSV5TIyovvLZEnlo0hEvA9v4
ZEfK+1lJ9cN19SkHSJgk7pKLC//g7/XA3Auev5FWJHFqzOwjTE5rtT7Qtw8mh8Mg5gpxGxRITf05
F5dWudVz1dDdXusYjAKx3/uXYUaZu+mUi8KhwXNxLbTULxxPf7IKqJ6+X/RQA4XFvc8QRnKzf/d+
KwTvMWA/GmG0KZ0nRoluBJWroJUQ16i4yjYWE/iZZMb/wkldPHEPzheDKv5oAaXyzmlPvEA5N+5b
bPdUC0A7WUs9SP2rkv7OrU6TEo26aTF9+30IbaHsDuFIUHZwRKEOAMjKnBmWTbDHCyhujc43ut37
TKsxZo3K3NP3UbrOixeAp+5neqQNzONu0WpHI8zKrjoEIPceu4S3TQOVy+M60SIbEijXpSW+iiUH
toSxiN/P2F8g/SRC/Moq1SBfRJpmGqspNtMHXc3TdWUm1Gaei/hFEURJN3fdCLp5nWZr1et7Y+LZ
L3PQDjDnW0aAhIK8Lh1zLk/l1BRaKQaBpa3uzb5niCzbhe1LmxmjBNG5b0Fn6gtVIJUZ7klm08mg
L0bLbMgd1siGJXXfKGgtDNKMGF89AmrG0EOg03Nlqa5Hp+OTNjlao7LoeUHsoiQjQPpnFhhM7lux
DgeCBXf7+zRulHxpCz78Z+KM3Lf3MvW9gGvtyUWAjYE5gPXwv+yd2XaeOra2b2XfADUAgYB9+PVu
k9iJ05ww7DT0nWgEXP3/6HPWv2Kv2smo8zqo8kpi+wMhiak53/m8JvHTkxK+e56rwNrIFKUi0+NN
ZvDkAKA55KLiaD+7y4RzYq8nzkoW2bb0MsKKobooOqtDeARWOIRHBPj54/kkGbbsp7uhGCkFVSDf
5WaqpffYGMFCmrQsfnMAi0h7P9DDSXmVigYzYy5aa+slc3OlzrVGNEt4mI9Lq3eTdBlSVjeuF8RS
1TYhQdMdJgJPui9TR1yMqWHf65YjOdq0iGJNgobgPP7ePPhbMYbePi2CYBeFCMKAXEX27fl7hjiG
SbPYOfvGmp4s7vUd1ovTTidRdBi7ngmcmuUh6ZxuT5AE4viKBlG7NRCbEYeamR48QQpDic0AnHBE
tR7a+e3Qyb71N2FVuPN9KzFcJBXVQIo7IChYIPlY/ADUB8e+0M4AsmNDaz4nVXqkM4tyKgCyXZdY
S3zXtuTKwGb4yLDqFJXTtbtGy2fUsPrbhEnaROG/X7O3erFcTeA4Lemxrwnke2AeuB/bBQUjjrtg
2Qoyvf7kM879+xYQBikoUqhxHeHSQqdCl3bzhRadR0iJ2guaDj4mkz7FpF+ucPaY38tqxJ+gjcl/
uNZy6/mF3Pb0IX3qbZK81FrkZlhm542FLzp69o4gfogn/8vgFXBDUtFr7OijbL7igI6pSNgktC3b
boOXa7PeUvFLvtGvRZG1yoJLgPjytrVrUqXj6mHIQ32eBz5bfbNZc4QNxkzxW5TRRgiSgVP4jskd
XdLcheFw5E19RG49iB8EFTcywZb3YUgTLGFU91g7QX6LuJvqbYdv38Q3CvYcZU9MqaXAzZK2bv6a
fRlxAFYp896NEfidpEWxWGNCc1z6oUWbhnqmovBOx1USVv7Gn6jqr3NK858RSJx1AAtGfMg7Cv0I
ZSB5yH1pFCmUCnLLzj9SR2ZhnZUQsd1ThQ0Emog2MsnsKK53vEab99Kv9muGDQTaXS85kNUOfZqu
Vzv6uJJX+lIpy1ov1tQbwwtRkVY2VYEeDZJyID8gwBZPazL5cq/q4rJEDHutrTZ5q9ABXCRhBDI7
7R7KQT0uFWVJpqDz0Fc0T+Uj4zSjtMFyt0UmSaOk+2W04lFvy1TbNy3tCPeuDIsADzh94YvRmnZC
d86WdRlw8mpUeIjQRr2hSD6Ph9VzH6o0bOns7gG0TdAVdt7idniNlp4/bSoR17d1QBdi6Qi+H14Y
/WB+Grnxk6Eo46vetXFzWEPscDduUox406NpuuY8hJ6fYme7WakWfsItrjlhUxDiQCVs+knQKARO
q4otzmj9ZwB8xCLtgAZLaBBeECp4rF1EFj2D4slm4ZWJulVhv3AMz8Nba154LVQN2RyrlP23Z4VC
bCQmhVyZNN3ITOkTO9wls2Wm0ohd1A58iHP7LOKAccOenkf8nrNiQg5pdN1rHg2kREymqCFBX9gE
+LhtMlp6Ekg/NVNwFkl0TbmU/HCCJPSxVJM6LenEPjj5CRIohOCIwtrSQojc8Mk5L5NqKwJEK63g
46WvOzz1Ft7jpOkQRcSr97guuSlbm22STgh0B8E5f7lou0zfDroO683YQorQ42gfMeYgIa4Gq/9W
i4I3BxwQZoS7dii4St6PAJbZpys4GGq3dA3qnXLwAyIGUhjy+HxZTu2TC+1S/GouY8vi9UXqsLnq
SvQPZ+nTMBH7ggyL9s5aIuZxtSuh4I5GlHHjyASpga2i5rN2u5Yiuz9x1XRwcK96WvnIWmVLcEe+
uqTpv5WD11SbMk1MiU2H9hQEOIh48nIs+ryjKOIv97HV+J9l6rCx0piUI7hSM0CycsQMRoxO8l4H
K1SJxi7ltYfKpGdfDJz7srHsy3ZMrR+DwqgmHTUCc66ZKOcs9HFnzbSA+8KbvIuoKghllGcJivni
oAKPnGcyZ2ZEO+gXm9I34p2xDdGI4AM11MDTeKI5lmSP61gx48qex2g5HaeGwV2p/uz8vrWyPc7m
sf3g0F6FRJhXZaDvpcC/6H56FhJjzWNkxbAWI0TGIMlWo7lNqGUZH08LMXIeEi3DjDUyZdLx811p
0wSanVXMNCxmMJKMmMyInKuz3jkwkvniLIIGjbfNjDCa/5GbMmLpEvexGx5/d4coPb0ojKgacxi8
Wqi5bKYeybVnxNeJiwx7MYLsctQ+94FQuzaSbWDiV97SxxhriXc4FgKeg3N0cOzE2Skj+lZG/k3H
e7JJjCS8PqvDCUPUJp+AyTkFEclgBORW5vlU2BGV47FZoaHqJuynGvIh7Ao/aoVtV7m8iYwmnXlN
YGB06ljp2W/QXUy7CRG77JcKcQ+6dmLjmLo0WvfcqN5pkND72fPeeDaK+Nkd63c8bd7LRi/Pm686
emcNvSWGbYisPonKm7FAOiAYqje20d23lhw/K6PFpz8yb7YoBwgg5+5YGs2+nN4KJPxEfvXeNap+
/6zvJ38Hratyo9yGqRZoj0qzla/f/U6iSvdGlvDB95FM0XZh0/JLRDAZ9iBk680yTmYHwZsJWYcR
igUDqTH8xCyczZauvekLCnebKmW3yaTJlq8TZLFNPAPmfbsUOgegSNi9+/2xzZw6XhzF4dRz4PBJ
LFC8eO6a+cVqnc65POKN155a/xz0TzOSPmUC399/zj9OPyHSYRIVjs+x3+Pg9vK0FsXpMObN0J6e
qxQjxaf3dIVR0jgLRKVnji7n7fD3n/u67sfHhoFJFAP6Bi8hX526OJKXIm+w85rzUj4OVqVOIP8Q
LWk0kmrfVPVyJ2XKXtxNJsr9/aeTt3k9umiiORWzwLmIc1nwl9FdevyhtCObk/Zp9NmsoXLfU8Fv
rvKAJhk4DaaMQfmIY4mJvFEM/VUP/m+J4g8ZO0dQlfvlaf2jRHF61I9Z9mu+7ueP/FWi8L1/ISA3
6nOwxg5S9L9LFNL+F9k66lsUuXy+hSzfz3ydS0ObscJGBk+/GfJ1psTPfJ0T/itCooUm1hxH+Jf/
yJPFfzmzSSchxIdOLlmzxnMhNAm9X+aWLRHB5fRo3VPYND6Sa0Uyf3K4zu1acsJrvUS9S4kIvrYB
PqxpWlh3NFctx9qzlnZbZiF9o/0MVYotSe8sSVY8slq0Rxyoe9vm9+DeS+Lamprsba7m1uCm0As3
KQ6kiCddFIFUU13LNkoGTF/PvqKNuxTk9sV6ikiw0O2JDQQyXhQnqac9msaz9M3MuYsTVT/oxyhp
l8dApEtm9sbA2abJxMFXFQqmGbmRS3+x2icaxfLHIdHLW6vgcIuj2PJ5UTAYIkTPwRbg0PB9Uomz
cUnbXyRwXt4lqcSe0WK/bsre/TBi4Vz8Ye8UpuT89+Z5fgTGOIGniikE/ilMg18fQbWiBLPiXt6v
SkQm+Pb3rTsTe0TAUIoNkMwh2GRuFb1tgta9rrVRnyOdafxtVtjTEY73sg/wtLqIVkwP19hPb10s
v7859M+i3/P7u3Sx5j2ysfxmhDOQ0oxtiGAl5KgkVe1h7EXzJgzVh6EU/okg8DpItPveTd0jCrtv
Oe3dT78skrfPd/erMY0xFXp50ziKmAkcUnrzCGxeJW8hPoRJbLf1PfFd/NkxTz9pGucTuS+yNQH4
tTEHUwcLZth7aV2Rd7GG9dCLHP7aONtPbQGkhCZ76I9I0opL3Qh4tQv/RduQ+91tG+cKCbp+k6Ld
uhbI5d76YfyQeLN7jLKsfChqnHCQAdunrIZKhUDZOhaTkDtTBt+vdsWcFoM9Xdmr+FbL8Vor1zkN
Y+yfYFYYm69Y7LJ5KcC3andPn2SKcxotH1F+6XmN/gpnRmzKQeiv8CERVC+E7mpwJugkMFfaaTwM
GVV2FmVxG0wWi6kvslMhvtm4fWEhGqPy3xU5Pmahh8Qbztc87rKs77AMhnBmr8qFJmgAWTUmlkjZ
ZLeh5p/fVKnAGDAsXUisdfs9hIKBqao2wb4PReSEwZxzqNO+B2PcZlflMNg34C3nt2HtTDd+QWvq
xhUj+b8uXfPTgjwx2q509N9Z2TC/6QFWX4NrT5DehysvJbM2rQJdIT2dHwEBdU8RKoprz1PR1kYP
/wfTjVd7Fvnh0IWsZAtBRy/PMjJF2F/2LBcPgjgh9QCaxYaQFo01fa99+bDMcMpUgJ8SMhrmjmrW
ryA9sJYfDMnd00v6DaHffNtKN4bWbHcfg86DEkpH7rELW1rpMHvu6Fz8AFUm2haTImWTT6ALOQVg
0ATPZ2MjcgfGn8z7hdP/3WwblGVAHoxMsbXceMY8ge1qOUyk3cyG2hSXym8HZ+8PlktQPmLCm8Pc
vFUFvhPnaQuuDJQibJQb1flQ7dom/tGQf/oUWlX/Mcqd/iOCo+4WgzDgoRWG2+lOiDp7qu3iiKOE
RfkWRBPAR1C5RwRaRbAvwjR8E9rdX+Cyr/P/Jt+bf7N0TSH9l6Vrhp/ea8Ihyjuu71MVeDn8pAV6
K1kVRr+qldZuoODOwauz7nMSWjfKgfi0lV1vvc+XDJ6EP7dRezMrRNjHEA05xFfWILD4soPQX0zt
YzFJzJoizI6hsDsKOB3eD4y0WzoXXTZah9/vPf/uBtC1cVlGRRW4tJm9mD/1WvTKSZPgrkSZv59z
B3pjmySHTsZQPvuafQakC/uFa1T2depbexnWgO3wt7lytIyxPCbtJ9yleRQzjmRSz4A53Zb+ma4M
4/dlYA55KR1Uf7IqOr+P/35ZnAffC0zrOXUouEKvrx3+RqZWT/t3zWgodWh64x/MZo4QCs/yB2fN
VoP6nt+UwQQNEMOCDPl0LclFZdNlY8zPECiri9KHzgpVwXrPOSs6RhqC71Z1Y/1mDfvsOnC5f031
HL/HXvc/Jl4TPKLMe+pjPV7QDxFC/+uQA40Y1NfHYArUtqXgvJldnLupM8cf3dTJgahg7tvjB7KP
Q9QDIKaSA72582cl6/Wo9BRfkLxUhh1Vh9vBdefvTtKzX7mVZ03ATFxnz3kXeWZTPDnE3fSc1N0G
TGh7UXqADOuApU5MgD7BLD2ajZNvKrbSaQ9rnsurYfSus3LvSpeWk12Vi2kbuV36zW779ZDbKVTC
Tk/fvbIyO4gZGtTSlyP0zBsPKifp84qdr80Ucl63Kt7b2AaQ7u5k9imo8q+iwfgUJft8QRkddwww
P+jZS/caB89+5wflfJs7K++S309igsTXyzASOPlEtEZTWCAcfBU2sFdXI/073V1aknneLlgOz+T8
2JtLuFfHJQaE/LODa02TA6FY+yjdYX234oxd7JOqv0itLtilZV7ifFwCy4aUlhXbCQvailbh+jB0
QK42rCT7yaSUPrD9D0+u9qbvYxZ41i4ioRkA+iWNd6wJx24m+h32VWAvzAOvFuUGNlRcHkonpnU5
Wiuktok175a1DS7wnv+AySlt/OCDlnJrufRfddJ6J1hYpIIBRn6j74QtsiAFpxrck2E+9UePVXuC
bmxCTvNcsSwdPtLedPKtYlp2s5ut+0gsHx0y7jvcvsWG60mrTZ+zIGgiYrLmbu9tJUe+rwIa7U5N
UE4xZLFPa1Qu1gbL6e64dm7a3Li4weDUOhbpA++B7AF2PYy4tdUixDO5yj/2oReR/Ck6GNspcQv2
moLdYINJSPrNiuB9WhPAXiRAc3NphzOvqr6SZEFMilpQB9gPMwJhbrdgywORaniWWvHf8YDKnkO+
C5YgpN/P25Gaqt8ncP0x2vLOAOVcPKUY7C1whGRbXFnDYMKfCA39gCp1v6IQearKhn116CpKqezs
aPTr1blOfIC4CxMhhITZNFeWt6Tgax0hPqG7zULm07i+y8naowUPcnopiS1PkKgAJ/X9uv5wZRFe
YIFu7csRMfUmlDjMbGy16r03gQoNe5mlW6niAIWdkVpmHVHmZk6QLYFGsshExzYy8LX8EQS0LDaA
67c+YSuJKly5t6UuqtsgqNK3bkWxlZdBxMgYVvJ5If33ZPuHky0vQIc392/awL/r/7n8rvrvy6+n
258/9pcaRXAYdWn8MVCUZ/HIXwK8wP8XG5MIA9ecfoF1/v/Dref8C6lTgP2UD6gTgyGyKX91gHO4
5deR5DD5DgeQ5n8iRoHL8nKPZH/kAO2HOMOFiEmd15INt1M13sS+OkUcB0FrKzHsF7LlxVVKPeuK
4K2b7hMfOHNjZ+lIq3Y9vEtba6rAWzg4Nig1Qag9k8GDeBT4yhCAue2MuD+JvewdPXok1otabJKo
A4w9W/o2KZxU7JwFMvTs1v4nWU+P+FFsE37V+6mLfWgMRH6oHN6zMvNtWVMX3oBFiiFuwU5BKcYh
Z0Q7iBN5Hjp3veQgMbQD3QyFk8sNq8m9q2sWcK8g+55f6rLlB7WELU6qYb6tEItQK3Ocu3h1rX3V
W9GP3lVsLoDloPdO1aoukglJG5kzkNticjjzaIjeqwdm/TxQVGdNOJ0+8fyzrUW9zt5gXggimWM1
xBPHjZptXo0Xa5F720CM/GDv694FttwuOW3fURV9RDPcJdvaRLOBcVw606R9N1pPeICvp0H3YHct
9sHVCY3lYk7o3FMA3OqsESPIkEj5kFwytyDYIR9Adw+QPBzTrM/jyJEvHKglbyS979fUeSL7qH2c
oDAED8LdlIzOJ3WOgYrZ5reVFbaZIUWWH9gXR9tZEIIW6cxOTQ7jtgVccDxfHyEPXGrXJiwlmjVY
7IGHUdOmug1kUOuDrTh0UNeetrQMroesYZD7EM+RejXg9YBOgOskdPAl3YxDUehrYrQ0PcUlHPeT
7AclDqkfFJRxVpxlNjnaxk2NN9nl6qGdUt5A3JWfT4iJ+6nF4UgenHaBhs9UwY4LpNenKGwhfUMT
2/Hp2Tbqe7xv0Wb59021lg/Ilcr7tFXLJ+os/XVYi+h9DhT7kApXyV1XdeKy9sfkKu689GO+tJxV
KV/iy8PDDnE7oSQ2wKufGm6SQ6i191e3r48+dqUbKJ6DpskM1Oact+tnDCyWY+j1EWBQV/zQUuh2
S1tS1VBkoo5KzSvPigMZ7yG9LcqG3xXR8nyQjaQ+tPWeU+KT4mBLX0fR3+FIs9xkqy62xH2Ydw12
fFNRTgahk+jwSL3WOSi6UB9weCiOVQjomwoeiMbdPGRVeCwcu78fQPT4QzleV/QqIttc8u2Cc0GK
OoRUEm1q5U2VxOuw7TEGPWSG/+MZEtBomEDJGQ/E8VohB4IZ1Bt6UG84QjgqQU41bCGKgxSnDW+o
MuShNZAYr0Xeepl6pl5VYFyw1YZWNJM1h+a2YKtkTvUbbbhGniEcUVTNmFSGe1QbApLbDMCQbMNF
GjWEpK4V/Q1ilvzNHIriqjYkJSqj7n6i7YlvPKOWkjN2KTQEpjLixLTTM1ymieD1JjaspkXlOeyQ
5oJmRDozW4hO9RnulJ9BTxQRgT7Z/MzjekZBWeTp6lNiCFFdZGBRGnN4OrOIgAyId/0w+zBgVkOY
QtijLle7bR4s6S9HasC4hgvMzIYNTvcg3GtIMcZTdfB2CBn6vRhrcFaajcLZjKW20YXAu9Ixgl5I
/Jx2uX9xgdh3xge2agL8ZtdEXY7YJW2tRY40K2gsbzZVTZ1yY1Ow3a5pQFtuUONECGEvfS+DxKYh
oKRMjJCI7pchL5YthSXOlLkraVCVLZF6NM3HFGIANiLVY7MCq6X06F40cRfcNhzm3+NXYHjsbroe
Ij1jzRDU5dBuSXoodMRFcXkm15/tI105sSv1Esb5eWfpiiH+gQsNZXp4+TvXWQm8zquIxjKaI41b
ndKEZNKy2VYnt+GkHCy8YVSDu/XM+fqirUvXYzlo987xKdk0Q6qMX7UxiShp5LnRtoYfn2IaVN/y
tl9ue1IKCzB+TrVnQL8KHf/qv+HSL9Ldr81YD2q5+55kTf0i7jFRyv8dLH2os+H7t/+5Hx6H7/0/
fu5ntCQl3HJBRYGOtpftCqT6gdvhsQ6G3Ch3jZb1ZykgIFry6VWSAoiNiaJ+qQMI18dExqFDDzfx
4D8LlV5ESuYT6Zggq4aG1fSXvW74K51c1eBU/O8h1HJ6htzWo11+a7dTtkIEGNvi0aMDtQcTtvRQ
6LBS8HHgsZoY6n+tPGASjTsXwWVETzJV6siCDqkjxG43pV+hCtw0xey3Tz4+CHNDnQAKJCIiPKed
7wGmD+MdSYGgfAxDzgVfRSU6eZtImh7xMHMMeGDrtb6q3qSOja5hl5Q+PLZNo/2qwgViIV3HibbC
ftKFpZD/sPqJRqc/1OFeRpNGkUrGhVqJ8ftl1O1XVcDAqbIxpW/8e6wbrDxPAy2y3oksBJhirEY5
c+ntmrUlhk92DAbiD3mrc2/a37kfPp9gOaATEqWSyX9GppDwS96TcgiHKltm33KnMOSDgZS3MPoi
1+ryA/aqQDN3Kh0SL91YnrW29VvtiQWwF4YeUotLGnXrvtg0TYei6JasAuSHP4yRqcD+co2E+kIA
hIqI8L3ITMuX1zin+OqmSljfwAujId0la5AE3YHGtUHgu6oGKb8Uvo1bzy/L7d9kJV89G/O54GvA
UNGbSVHr9ee2I/TnxhLhtwRfMhLdSPvK/lPq4eOFVDvPxuxNTfV4GDZpClpb/iEdQz3u1W3TLYsq
m7e7H5KaM8Pyy6Oh5SWjhJGKbzR/B53Y+tqW/iMLyRouOE4H5W1mOY1Dx0m3jPcFhbGVNnbqagzK
7wfCFOxePACykpTx/JDCJaNxrjb9ciWDzIDfFnX8NY5WtDrHpkOmjrojrjg8H6lczDyV33/kP28e
CT4NsWShEG1HnkkY//KRkALiMl9s9c2TmlV+WDB2ctAwKD32WAkAF5df1Miod5teBoH8An8f/tZ+
yhq71X+YCK86PD0wYJHtsUpYqILt9PWZL4moZ0btYD2lGX4KFvAvWuzBCM5N2jcEVbm3GmdV+o7w
XgFFxlX54PzH+6qV+bKtLUfV91GV0u2z6/yGDBNQgLp/+v2Yvaq7ksAV1L2MK3vAHg6J5eWYQXhA
Ukz+9GlWHAagiY2FzWDZsxZ08c5K0NjYukVnFs1AkYAvWZuM/+lggTClyRI4fxR6wmNre3kZYef2
w8L58qkufYs9PGf3WjkeLvbAWUDEPvt+nyDRfaxyv2ZHVS3oB/8UWrk1FdhxsduanX9J+ak6W8vp
ypwnUVD/frhMi96LaQ33VaAuoffB5QlTL315oTPmGW1Ur4L8M1n5ap9T0inHt906ZC0RXLdAF4MW
Uk38W7N0FXFQWKyLda/bNr7oI1ViZF2tqw1bNe3o1dggHpbxsB192yrvOKsma7UFTDezJYLxXJz6
0iYdyG8tMCPtuj8sUzOwfy9T6p2RDS6aDZ1IwEOg+up+9LLOJPJ9mu9qS+F+G1RVIL5IVaRMu9+P
3T8/CqUMeRhJi6PpTnz1jOllw6oM0x1ql2Y7ws3WTKcZVwG+/P6jnJdJafZfGnYjULzcHA0rLMGX
j4n1VncT1ttfKEf74Ehbeo5YYHE8IsrcOljQ88KKwUWad0JJ+b8zbAauqsWDk39CwiZkdxhxf/zj
NuW9fje5xFBkhEAfufRA/WOyF3PR0+3ctF9axd7Q7UVfhN6NS7ZmuRL9uPCQoxh9PNrWmV5HHLKU
JonOa0zLu6RbY+zuKpw7OVuPvbwNM2nCntmbqjI6FqNvJl3Ti4iFQeuyP921Ki/Wh7WUBT14dlma
VzGoIItp19QRlmSATTAWeQireWZGCj9f+NKvdgJjqfV7cfbFNTMSAkdG2NSdP54WEAt5adice/tg
I9lceWbVJuIZWsCvjzOsoK49RJNypnsPlP9wrVQR40BSVso1DO24mk/UwnXyGZFo7D1M9uSwdAIA
JPmPqathlf1hbrx+MTH6dE5R8WfaSx/F6MupIeKlThwErl8QAPbI6GcShy1H4SZvygsxdprt7/ez
8fUeS8rPoy5ybg0mInn9ib3CqluTjv8s1tFMRj16ZlN3+wAn54OEaiW/xGhMmITaHYcep3W2S+bp
7y/DBOm/rHVi94BKKb3Aru/SsUPs//LOVzGNHTaD1UNFQ9FAKo/anfW9QafPHpsWfe3sSZMjj5n6
EFMHOm+hTcImGlwME6i/0rqJYjTpMHcL5f0sVBkuFAkcOd0NIWz7beev6L6YRKjNDbsWBaAXg/Jk
C0tt5iGHS2ImfICLwexnVKbFG5cohpKeKJSYp+Pv7/j1bh0KXrsEUdw1d/tPUEUhY3oWuj74MI21
TWjuUxYjNCcjwbyl6d/zTqlDlaqjYSQSfEmGc7xuyda0q4Kp0W58H8MQ4nrdLlsp/GWtK8zG3629
7VBnpZ0lO67+Yo68sa7MScFBlcrqDGCW/QllcS6n/b1hwzAl+UcwwK7GE3SQH758iLQiVWuT1+6H
cEBe0R4wuDcXAFmaXo6f6xgIxsK1YSloljh7pdlSVNvx+sRgjsOJQ+KEv2qoqxWPyMUD75Tp0oxD
t+hG3sYAfZarjA4Lfs2SVLI/FFZAsrAN4Xz1EA/rltv9/dN6xVowt0bzp+c6LBXeRP/oLRzmAnjR
2CwfREJ7Q7FBD83UQgmdNV8HOyxwv12oz6wPuJmat35lNaYSO8uqTJb9WklnSOg8sUb9gdhbMRw6
yAWzT0wru0mdWRFTzNNla3a3kW3zlLktiWKkYsaYcZMN9Ey4W06ODkOBjQlDMQxBaoGxRsbNkqB1
IOdPz+NjtsLi8feD8GqNYg9NWZH3F3oGh5LG6wDe0RCcF0k5fKoCyuKH56DdTcN5IgcZuil5ot9/
ovvqdWQ+0jMoGZvXkm1aS1/OKDtvCIyBsb7vR9o7HodlGJhQRDSMj5e3HhLuWFu0WGyw2FkY8HKK
awIxNj1GSau5HN4Gsg/j/BAPXshmwIKc7lQJR/ARUCkLnxYaXlQ/H1vS6ZqhnEu0DGLDKjKPIyko
U7tbSr4OX6Ilj6Y7m5I2V+IbDOJDIQdz+v79vaO3ebkncvPmJcAmAcOB2O71eY0gFxGJPS8oCqHI
oYgfobRuY03m8xZcnKcWxEdKtuEmQgGUg19Hfd9d2iUSPH8DDbOzrlRSWd5NXBmTkk43c/IV/J59
0vFowOZB3ZTfvLxc4cg0slKPmqQbln+TQ91hF1La9NttR1TcjwetfXyFoK/A8KduYVcInGzlRLu6
VpGzzedhxBCNdpMOlxroCgoTkWQuqBtvplXppcRYw8+xto9cKKj3EjtHLyGj6oAVAW6rUycmKo2T
4WJIA+LNbYCid105rDMV8XUvFsqsXd/m8jBFQSJ2fmXNK33EZPYfRppY4p2gJuBsF07dzbLBH7mP
dpGxD4IyVSanwBXDrmtsvV7FUW3bR0dDET4koOBTe98WTeV9WPwpKSxc0ux5fg8LQQw3Fn0K1h1v
jGD85isp1Yc1mJIa+ANavLR/F81rWRzjjJzNYW28kHw+BtoCm+dArXCHUGTkYf0N6UszzTumytJ9
j8ZBazgJJUyB/DTECBCNKavtl/IYV1YhbyMnsIriOEmaAcv0e0ptgnz+dqYTWXk3FEQmpvTqKJxs
3glpD9Le17XXohkA45Wl5XXtzwVJ93xKBj1do4qGHX6IvUqP/l1cu6LDA9lLk/DAXJG4ALUTLVY4
RPZhpqNNYnmyG3YIt9d8udBJb6XZESwjbxugs9pjg51acOmfABpLv79gcmgr3mpB2AIisyXqiuiP
A1cq35RE3HwZnv8SnSjwyQ0+9x4ftza91z2tYxe502Uu8Sx2Tw7Wq7SwLLlPZ+VxrnOnKje+N5n3
ou1bGbeTCIRi4nGOF4lreE7XlJ+8WXSr2+BtHlu5Lg9BIfAfvyhw+AynNzIXfhZtaHsyUXWgBh9P
HaCysbVeeV7ZM1KYvbNl37BrQ9e4skSsgvIaumzmlG/zXONns9c5G0Gyx85CcO1sWeaS4FuU5PMh
Ci5Zt7PbIlfgkPDY8etPLghpPq/K8Qn7gPFxB+OU0z0j64Yjvs/TFvMo80u4fkIWWr7A/bo79IHc
/bZNnZpaSp5qM2KipC8z2jR9OsDzqQKz5Xu0h+BNHmkctik21MQbR4qBFd/XPt8qtM+V4etyTj0B
75I+5tPK1OHoXDuZeTxO66Wu/9EpZzPOtRflZMis0VI8CqtGIud9h1AYceKAPU2ktdWhswT0FYWp
P1o8QW/sxochr5EDMV5WujY0Cq2eM9+EmE5xKRlPul3vJTOLTxD8U/cUW7OZYFKBkJ2M9Ji/K6PK
DM004SmS8YoNO801THXPx25/3o9SQnRPpBFT/g7ZXIMJku/FEVZNOiKtBSo4pZC0/zl74rWP+JVB
bpmbi4flPBgY3PD8fsa4kb/65k/gVTD4w3bbuv851Nbzt/81yM/fR/7DLW4ogVVcgFMjonoqMon0
6ZjVYuGmOxcaermhiSvJ7HvSCkmDS9nzg2rWaWCqkU8YVXJRO9ES+3TypNMicUocG0ZpcquSb3Fb
ModqS/ImhvhZ2DhPa/pmKQqzRqndoB99HsGmZQWxrz3fU4rYdQHH19RSO6cFa3d+zH5+tM/TQ8ZF
yfiA9uYn9mivzM3j7ZAyT4Grmo9JvVTyl0vTQX3/QIXMGwdMIODZMrzPE2mFD81VcpPmtziZ6vk5
XLQEswvoq7n05wG1VsxF1BbHo8YL9pYNLSa/WF3q7+0xscnT2Tg1jg1rmsZAk8/p6cp9yqbA7Z7o
hKuZPr1PxMrNK5q45ZueDL35hdgB8sWb6OlkRAw8lrbx1TfXX48ySfUHCK9lkh3qxACw0k44iTih
1Qqc4Uo8z5Us76MhOP4c8oi+Ki5nzkTBL+EN0PDheZsVvOcnp1ul/YHILQ9xvOssRMRbu09iPhwK
a8ORaShbMrYlaRBSBjwmpBJBk5jlPPJ+5e+KZZR5eCgIFufl0ji/zM2J3j3MrbGV8kpMA+M+4ZyP
w8/I9+Pb3fOFoNEvbxHb8v9LpUkN+rZ2SIB1VCjKW1rzY5ICELr4dBSbzfQg63jmFBAvq5n7OmIr
zw/U8V12GDiqlIP3JQI0vmW26jjqLzCRBTvw2ZYU8OQhKZumKE4/k+T5UKYqP4xpyXn36+L1qFxO
LT46uKSL85rpGgzLeOyYeMfrg0DppocP9OCnWp6G51ufowQux060tAZwR0VCbXMvV9thlxuUZ4bP
mVsza8jCmSn+nIYJ+0IzAs7omvsdEDjwRTHB+f6Orgr+lJUr2fIIwDRlZlIWi6xuBAJZvkMujjnD
0tjcM6+ekyyrA8YzPox1p2L3IokBB8ADfE4oxhzLyYV2Ph3cyzF2Co6+wJWKpt4OJYkJ/woNl1lP
g6czSgsJzs5slZhCL7zz+oWdJj9w1jODN2YQraq9S+WdCkNewpfwr4DjcZefNeEZfl067pXCt0Tk
JvXajLzubvDoE3J455GcW+I9OH1rSQ9St37Z70hdOBIZNUkg+cWD3MaRnJchjnqb1fLQGh9kXZnX
RuXHZropVzlMvueRBP9Nfl1kdiYm7H78Kg7eFeuorXtFME1WYW27SH5hv2V+WbpFpXzMPdvcQ9zW
Fps/x0uTpYK4a3LUVK0a3X6Bbp12zpOHmUv5/9g7j+XIsTRLv8pY71EGLcymZwHA3elOpyYjSW5g
QTISWl3cC/X08yEY1ZUR1Z3ZNbOZxZSVpSKDdIWLX5zznWvX7bsl2dtYD6X2+5QbxZzsuKNZlRMO
FVN9LfIrwxNfmLMS9f2op32RAqJyFiuDrehR2/QfwZiPvQm41mc0cRClGusA2eM6lF9WW5lAYxV3
h5lmH5YyNSWejkAZbPODugjMaOQ/at4ITJ992xz/eCaf72XfFYy9I2yDy/a0vh83VTVu51+wpNtp
QvW/Xbz5UG/f0XzfSSSFuf03zHYa37Gky/aNCYIpvoPOfdvY5FXScSmnVIvJ9SoXo9sVXKjbVRnU
21d+fGSpKTmJAoAmfOlzyr8dp1oaiXkRlodMQuj+rcpwlmBp1Amce0WongTmceqb7SpPtXUbBw5s
v/gbbANOi37V+XyTBM8bzDR2e+Rlzv709ccvckTALY08dt7sz44N/8PqwRlrOmXflZ8HFlbg7SfD
CtpG7FrVb0NI0CcCTSXxgj2Sw6x3lfagMEDznHHLohI+5Wa6lXGZPfM7vLHaHpb6fsEh1OE+EiYO
cT2UMua2PIUSOW+fSQ/BFYAGJ4M5Ue+youJq3H++IEy3t0Ov9N2txIIbphWXmWmhVPqLwdcvy7Dv
pi6HTzACO6jt/zQszySbEabw5kNG7CmP2ktxsz+IiXiS6x72GQ8CAcF2dY15vz32v+jufu7ttl/v
busgbGqYFblwf25shZoJ/Bo8RlWfR2PBDHh7/dlZVX/hBfllLcDVhLoQZ6TDyIq/ultb/4fVE0qQ
3k8oJf/+GdHLuW0j4ALYeskI3z7dAekF/E3lBe9wawubt+zH4fjnT/vnEYKDL4KpkOHw5Jnq8zk3
f34syYhuWXLpPQRbZM5r7hhbPT4MPhEZCG3/+nX+519obtQiHV8oCHXQoT//QlYFulHVOsCcueFG
gW4qkBuliGPux5X950/Q+E+cH9t+zcP+QYK6/esgc64KG75u5d7/ODGmbN2G9gvWY8fZz/bgj/sC
Fq+4U5O1gO9TzXaeW4KjQRtWm/vRXzyinz/pvOa0UlggWfgS0cCI7pfV4wINfvIWq7+vPi+qibqO
a3xWZcK5Dlko5y2Ap7FwZQYWNwdKCy3bHkjRWb0iuKGns987tdU67EQ4Wha8K13Pt3N9JEQvLBb9
ZDR9bum6z2P2z5/Er28jbxwLGt1hY2KAMft19MR9t5cmKeHXGQgMXs71eyHUDU6j7hbNB63+r/8+
R+eN3P6Ho/mX18ybqUZMX1fXP257c5r1Raijs3NamIB5+i+N1hDgYmnE5seFYXGp/tNxYE1o0Jox
L64/b0sUydu7QXIf10Uz9NsN48+f4C9bKJo9FBogY01+HxXzPxmmG1SGSYHt6B25F4XO5wcQwfpW
VAkLO8fFOPmAzCK9toXphR4pUdw0ALEYQyTJy/OeiknnuPiLx/UpEfnHFNlh2sciDtzeZjyyQbn9
MkXWdTYrXp4NB7FC4xp2Jj5ZXgwFd061vw+4YHw3AprJdDQI6wToFSgeUgaN+pL7LdKgNGrLjtnN
2bSZHui3deKA6LxYuLs77XUCXtOYlygxWRq9DD0qz5RgSNNuoB9U8HwlmX66O9TkEjgMy84WuUqW
ext8buRKl3bCukma2ujnqzLNRuAxlClubjDVKJCQXNAqeBAIKq3ouG/8KDGgAG0f3PKzMKDG9jnu
3e8H0WezUH5/NYFzmhy+NHfbjXwaTY2StDV9Kv3GVLzcFEmu8q4tolL4AdpnddKxtOV90zsfc1NY
DrI21rBBPd3kMarnqlA4MT6HFj03PjR+n6XI9xqI3djE64uSebsNe/3IbIjuoHSxHcNF0h7qkr5g
POnsG/I0quZ6oCNiIo8p5smicA1IilpkYJPx7Ora1s4Po2BSunx2UsG0DFYfZyDpGZwyQ/HYE4RF
JmG4RJpqU2IUw95C1WTeEkkJ24OQBTDQ/aOzBOPaElvDZLeJqeLQ2V+3mK1a9zHvmBenMZ9zZA77
TBDtUUS1Qdn4+0LzOPgnx50n8xXUB0F71wy+ku6uISiiNHdFA3yeXpZLfybEUhKaYu6aduG9RRZq
rkiaN8heO0YUV4aD0cNekulcBpgk15A1+ZRvoYi+YLOZZzp+G72S05ur1+VCbIJNyUxWjdfU4rlh
dqKp0P9cmv04TXr29Kl79kE/0TI0WeXCT/lRKTG63iq9pQGxRXjK9z6y+l7PNR4ceWriAKUOalGh
uzVxXAOROzwMsyzBzZXaGDxyDLf+Q9cEWrUney11wixNyVdccmixSz4lh9werYtct9ZjTZrHBbOI
9t4TrhnNAb5oL5dkAff2KB4TPtQXdrpRv7n6srdCdNVzqhNs3SgdMkeSCXtPu8pQCBX/pd/pr23J
5dgAKMPxl3exZ2f4inpdE2SWzvauaHN1QwyM1HfU1XLnLwTb8Il16/esUw+mYXeXwtbSy3oc5M4Z
GCIjkEkJmVEBSbCTf0dIRY/eoMs/sPkmGFMBpS9208ROEvQnfzXr/ZI07HFJWUcmXPpLE9lF4+0n
fuTRp6N6w2ekDugxko+e4PRDORvVGi5B4ZDgoLcPHbQB/EoMWYZQs9r0aZpX/2sFbZdmXNWPk2/m
O92U+snWgwzbu6ZZZ5tB217Iofk24I27Y/yXo6OSVvBhsKyhIzE64x4GSJbvu6XRdsZQy/thtBkZ
cBTEA9j3kzUAnUMDTWxK4gHy8J/z0QyWIxoC9T6YdmHsWtVJGpW8JhNktBz/my8dD1JToolTHSAo
iG1DFnfzaJV0OnV7CRPX6ElZytqvejF059mz9cvBNbZPaOJsW9B0nE4zBemV7pXjkfk1IRKllZlk
rufVhzFNEAbxMmKJl+gdX6aun771GsHsZm6sX+HEtQS5Jx2yxnUd+ORmFcB9lFxCxR3q9PnkqrTH
9mR0+fViAONdaIpIg7Iq62T7RGGdSNoQe6yh5qVTEYPOrPaLMy3vukqSaxusATwdJWOGg3oepnM9
ejF5uhZCftlcd5ktXsCvU1XpLKhTMEolKoaSHJAU2pGmYAuxW25Dy6yaQ0urH5p6Le9mos7vhmyR
ZVRKmT71oH2eQS/gou8xz0eJQahZWPD42Jli3Cq58OZsjWzYzreBOWRVhI+h+FrUHTlYqV4T0Z73
YdeNxl3AGuDYmVv+l9CTk503ZF757nwumNhDv2Rkyi9NJFYZjSguslnPrq+1xJkaZfBVYJHTY58K
qwidYuhv3ckl8dfsXTcK8tW7kCjSb9EPoc6YMvFktk13GNVsHIpudL8KK3ma6HSf1h5WJeJ4G4NG
X6ffFl6QQyY9pYhq1JcHKQInCYXds3MtUxnq2Tge3aDsDj2VpLFRO4OnoJHBmzV31mMhkvZtXMf1
m+IDHo9ea17ZSAMOOneKuJ97+UCFiGdtasYzWWfl60pa18HC2IhijIHwdbboNveymRNJL3KfiQ5Q
vQuP1UrUDU1xKB0lntCcWTz+0TwZemPtC9ca4AUk/W3QZOLCWKrgoQb7dpnCttrNHkcujWydXze2
Lk8Cp+1tMyTiUUDyeLdwTqeh2S/jtb3UXDxMpW4MS6rLWXjTMZ9ICGDy4jeHxK3tmAYX5SeDi+C4
akCOsLKLO6Lisief4cdLv/rykRt+esHF5l2thibRVrn5viLL98yOGpumxA4c++uC2UlHI7dfU629
LRmi30Kd6UBadpW+F1PRv3RS2XASnXU9i8BWlwioSvr7un1MLeKYObPreWd5pX9hsLWLxm61b8CX
W8zWhfahJSbauPPi2GuOq76eqVZjTzGU9s+lY8G/3oEVKSuJYeXvCDzmJNU1Hsbm/wR/h1hHPeXm
OPaHzKyArf+ReqfXTXD6FXbn42X1wmKVwQ/YXauxsb8E4+jxWrv6JMW5D0ZWNcYsjOnY2H19Y822
duc1Qd5F7iyydpcFnbiHgDjWO5a2S3ZZ5wS4xZpocFJgHzM0fNWYLe8XnzTp7LCVHnoc9HNbtdh0
u3ZKy1NJVy2qyPCoXAh9Vsl49Z+jz5ARJkY8GZSIl5JWWn5xCIPyBeeI6KSDUwkvBMKgi1G63skx
Z70pHldrSUwi7OZeD9TJ5LDTSXpkpn/oN0p4nI2Dox7wXJcFGpq0CqCKa0lakdxlB/NDbqF7IZ/c
ru7axdDWA84gXDi615v6eQqKmZRVwST+yqs4TmOEeyuZMmt+Kkzs6JgIy5MEKDsUN/hyXcBnGNca
fa5jJi11uemsOtOpb6S0C18SY02yqMmIHNDarvVZUEbKwLO9sw1VZWeQd5jn6oZBbbTKuQfvUS+s
bjxVlBcNoDHywFj1XZU5g84YUv18AWLXwKPh65nHUKsQxrFMBQSbTjneEuKRXx5dacprzQlmL6qL
BDoYZDiLYRpTty9Gp4mPMaA0sbDPm4e2TQyLYInMJJiOEi7T2ojtOmKyibBN9540rtajMFP+klcR
J6nkG1oCz+b8ncmDUfg7KxmenbQ35mBX1iSuZLvOnIGKXhna6CpIcE1NAHfv21/TcXxdcX4/pVn3
mgadU4R0CfXDhDgDM34iDjr3Dp0zwhXsr7z1sgLFfy2sXO2x++N67ruV6E7UowDFaqd+EE2Fc1m4
S6j83OZ4HWX9DhIOxk6LK7pP5+SKFaGvR8Y8TKRFca+xbwMc+w8eCiABXJJhDR8HPi8YgfPpw2i7
8q7ricHdDaR2nwcC9h4U/JF0p2YwH0fGvilUyXoOjlAbe5yFfbUvNw9lU+rGLpBZe1kmjnZllrN9
aXZsHdt0YPsc0BXFppmMXxvlqcM6m+bmluIeHOvB2A9Qh9z2GgHghPZQTETDDhPm7b7EkGm7A76a
wKgTpK0oGtVxcHlyu4Up9QNZvflHwuKa5DAWZJjHBXl961KKa27y3PtzmDJAjCgveAjJPTedfK9A
uUeKFLsvRZ4ar4zO5j2qm+DQ6kG99zqvuCXSU0Rj7WbP0JafoMsyEaVv23tmUry0kynb0MEq+GLp
CW4o00o2K9lc+FHOdPOUdEA3ylRnRJ2Tb44S1LohQE+dxsnI38vM8l7LJDWeS8OazuCdUBh0fXu0
mPl+YXpuljFH2tyFVqH3V26SWJStoEG3z6D9bpebUnRp6u2mPZvDWwu3GW6hm7PJZBrcusfGIdAw
GgQZCyyL1pZpnzcVRkSwI6U0GI3Cuaq6wXzLskyWsD94DGFBlrEPI74m08WFEhVmS+cca1eZXkwH
PwLj0Lh7n2rC2X7raNqyqOwsS3/lvksMc6D503ihydKNZVdoF8Agzadt8b83cNerkJC47sZx5uJN
jX7H3YHGc9+qBDlTmzjWmd2buOywp4H5TKlozvOgurfSlDMxP8wJxzAfq/ldyoVrhWuSNk11jCE/
SNrhi6zUxl1TjNaJKTNcxCmfCZnYdJ/fbDSgyb72MgkGkfYt1KhGZFwlvebstB5cckQEq/NFEvv7
4nXjDP3UGuJK13r9Wk3AKVmP+QGyHkq40JVTVh0maqoTh18Ds7DPsoJKLqDyRIahtdcWlFotUskm
pQPi4HQ7QUg1ONMB0YEdbVi8wi7HfTq67ELqMgI8LQHXbV3sGCWErJqU1FaTrM8NzrHyxiToeohp
KpJyy2gm8rKLhKHSajloulk09g2O28QPS6PPra8Vuk9yqkfNn4tkz8YLt+1VmbVuCwBI48oksHnN
6kGBeph0Z4kzFlB+hTWWm/wSN+OS1OXl4idMdKIBlI3R3VYj0mkrnFGfB2ovVNfnz2la2m0aT1wq
7EEwCVmNCMe5b125TynVGhDSSqt/H/phHh1Q0WVOvBRxIkb5kOgmy5NDh9IJjLBYyGkrbgvVlbwP
tobeCfivUgzxYbUKnv43SJmezus4FM0SBx0xyM+OcMzs4XPaqnXbxkBWOMsfNNNI5u4yCHAQsTPl
GGd8wXW4eh+pneize0AYvXK9gc4J8hfVTZmWhY2PClyjsU2KyeUOwXEsv6iMeYJ/ltST8zX4cX2x
I5UOqi8PK+sp3i3ueEVbvFk+UWB17FRSLc2lpXh6a4ipzQRCgmqFMK8HSzpd7u5clKa5ddKV6pcW
IVEuKXFoHdJ+30GI5jzWZBuXyIiuTNRYVO5dwIm5BDnrbt8+5NKrl6VjjDoyCs0jNFEYN0mLbGY7
r3bdhGQGBoZoWv+8Uvn5uwS4bsIaa0wCmHKG3Qf2zltWyz6wuKu/dL6CJYI8BsxUiycutBXXzg65
SP2hNxicWbPomSB13R2IahwFQpM5XOGg3eFjUst38f8pyNPx1kHeesEgNz+3emJFpemqq8LAoLvr
rBq11Ygh3Oq06qEI5sk7kt+5eqGFPd0OZwz0zUFIHRni7HdTg2doLD+6lbxGjlYbgo/LfVTF0lqX
+yHXppn6QKt2FKA0iEnROc5BuLas4wQD8pu2JvMCVDcFkHTvl3npxFPeNO9CZwO90UfoDEDYjTQj
osBOSzUhhguVOeX4ARRlG7hQUJtNtJbgWrCPjYm2r5Xho64x+6CJgH607c5e9OHCGFrvpRorm3ml
R1ZNGzFPzB0aVG8Zrmvf1VVs6o6Sz2gX0D2EokMmFyHK6EfqI8NEGMRs6zql8a5Du6cMv5rZmM0h
0WHezivd6qSlALoHlNN4PhDHEd9DyvCihthvgIiFniazA3YK3hhvTrXQQhx3AbUXCoJiXva2ojjg
s5EEdwqLK89zxe5tdPMtgQpzTPiNv6X0ttM3DfURs8OiS88ax/DwSm85ZXdeUYut6AI0dkEF454E
3vb8jSPSWg7WaBf37WQlV+gc049UGLzy/rTO6M0SxWBkXfM57HJ9evJnR91OeMV5CrjrWO96dctp
ClkE8bET3BtMDwHHFu10NJhZ5PGEuOW3ybKxNzrlYF80dlGgLxTOQ5+k7V6ajf7sisEIAw8hYSaq
FYn9sC4htqzlGqunmcemGka8ZqAdCEnPx2A8pkRfcsw3K3rONJlmHm5QbdoGmuGoa7zF3LPiYVEK
TCMf4nS0Ro7eLZ4N6m0HfCK00qGnKGiW4cpSnTqnpoErWHfSztujZOgep9mTyIZlw7Nkne+9Avgl
Uqim/r7pta3gHXziiUJK6gX0e5kE6EnKPs9ibugF0immJbdrzQAgXN2uc3fliEIutuDR7VbiZhlQ
OOjh0H3UXYzx+/dpIAoXEPccTdJZXjxOi/FylgRgxVU/+veDIyQkfc0h6U9DlHOyyPe+AglkXvpZ
VXrofJIFGrCRBJealplvJOyVp1nrhlvEdkWEiMv8illHNSwKvGCJcmcoBG55O19iNS0Fwc3ClwnW
dAKXOH+FVV0Whrk4e+lOzhctyTo4a3Io8VUDGiSmqquNlzxAsgBGzRDXLRIRfedNzkJPEJjYEnog
X0T0GkX2WDqzmCLum1R1lOdxZone314392ayJqbQltkmZIPU1nOPTIKIeVW9WEPdPgsJ1CHLG0aP
SCJROqUjH/lKvKRggFNqq1nDzL4aV0LhOhoYu7w2qdKOouCijkVeejdSyfYknR6zhvDKM2MB70JL
dP8LA+Pc42OQum+QqCwIxvpwPwqc6yTTSzMqRn/aqjW9RvvSMOHxWEFeDFbWYP0PNAon0lPnQ+OY
Y3WPiTcHRrQOseCjbke95agd5Ytx2SxthrhvMp6zZJmfyU8lP3ZQOo5OpySPpUp+Rxesx7Ad5ZNP
uX8w7MR4a5GQPwPVWpxQA3KHUkqDwGH7VzNb+kM3Sq46X31FYSxvO0VGROjLVje4DtbbINWAIgnD
rg/cDwTscn+wYsjDlwzRtPPUmwJQRW3E/kyjAnW7ATOVGaAH/Mp+KDLLriObof6x6xqDXRZSydKy
3hfF8F/syo5xkHjjBlXWIwkSGFK8Zxratu7uhT20tnMjyajllB98fxMXiR5rB1t+uBF1z6qBjWF7
Qwja5qOcTMwWJngpfZbZUVdZXaxHlNiLfEryeXLenYb80Yui9WtpR4ktdKnF/ujYk+DwKpGjYPhC
4FAERu7CQJAE0VI2+voCha10hT4f1TIzxCShYXb2tt1M/qvbNJJDpe/KiiSCyXMy3Ymp8xAaxKAR
0hRFio1ICj0xZTyyqAWLNhcNOnTbQcuZde03vdeWjanAVN9DrNdNJIGwcszTErkP0fKbCpzPIPEN
h7RIV72/Gy1f0sLk1uwK8aX1p2QsYjapPn0fnp98JoKhaAfVxsPk+q4BCdNSQ/+miF81lpCf0gGo
mlqbkgxyVsbJcAFUy4EpycB6eya2m+pBdcjSefT63+Bfr6YTgrvc8hYQs3vuDNlqoF++LICKVy65
LIHvjfs/3879vIZlaeix0MY6G7CoRC79a5xU7ix4eNLc+yjbbjMB1Z8KiboM4KIctJat1F/sKX9e
Xm+/ERc3u8rNOsxudCMM/FG8wGzOlzrGgm/1528cP+UnltMIdtiDl9kKtdiozxreiLxgJ/j5lP8l
9tXhW3v9tf42/M/tT723HYazNJPfI8D+8W+Pbc3///RbrvJ3AZ3sd/nrd/30c4f/9f3LkCY3kvJP
/7L7jmG4U98E+AUi6j8fw4/v/O9+8X98+wPM4etHnTdxPkiRv8ufoQzmZkj4r3EON2X1NWtrFt2f
P+/48e//Rhby9od+sBwC+282NiDPAYgVbOwr3ry/R0/qFqGSrgsRHb8Xdhq+9APmYHnbV74b4BBs
/AfLwbL+5hrO5tnml2x/zv9XWA6IbPjg/GHLbKCKAA4JGYJHYFgs33/+YImx9JvZNfqTTaUaW3a1
l9Bi9lTE/p2TNVnLnSHVKASGbHV2paCTecqkU3xUZFuyD5uZCK4E6tRBnhyQS1viEWFidemnQV7c
SrcRr9BUvBcHruEpM9LqUk4FAostDoI9Rl6f4OaVe7cMxliORXMuul4jiJID6IqQiG491ItxSCdw
SumKeWAPOVYELyNiC/+CYRs3Adkv7vM4zcq/XVDUkhifZ+dio+PsLJcjLwL57OdfR6llz4r1fU0q
RktYI7eo0j0TbQ4GYa+hjqHVITAHNGI9MdebrqsMGIa39/tq7a5hs/B0sxmAA3CXpbCTC0nJKYhw
QEii1RCSEJ0w2jIRqjmswokmufYh8qkpTCpeT9q8pVaEhCe40qdYjSPwaSNLDP19mqphWndllgMD
CEkld6BXN5h+yqhWAidc6CpS7mkD2YNHMzUzTP/MX3vbiB3sP2tUungx6LupijPkCT7l8lp8rAm3
IKdkHI/uEsRVmyOcNBELH5iBJeIaypZ21NEI3upU1iG3fCucRptoBao1kI/aeGB5ZD6UZBeAwhl0
AlzI5LnDHOPs3WADaXdFuZsqVUXLtvPN2wGlKRFIZwFE7YCroT62LcH2ZTP23I6alii6sVJHn/u9
p7JyX9dNi3Y0S28ck8ZlzKqZO05axiwSrbBANX4xrEFyh5i//i1pNNmFZQIrle6ou6kK9wm/SnoH
s3m4nbLRu6vo0l9I9pzjlADwk6AZv+Pz0O4XoOJfQHclt5XZLr8x4eWonJRipsHcjGF37l0HQZl8
oQ60LubM1UCHJ7NE/acFe5il1jkB+nrAzZ6vMfrNcvnS9T4pGtxmnno2iQ8sL0uDdSJ3J9TQvTXD
DiCSOWqJQT82wnThdMuh3jE7kEeWqeJA1ZF+IfjKugxWb4tZ6ZzpEVgGKE0fEnSBGUZUvxuT7WIY
8FZnJuy5aXYlGcfhgqbvFkuwdxST81iA5xwKZVuhDWf2TJOTpiHxMhXbaaHGG5WmJp5CVJi2HVBo
FwvvtULIfcfavfkiBnCTY+J1bxOxXkYvRsS+vn/ina53AL/saBk6/2rlJnyXuEN2apA6PqYQu56V
tdb1Rj0y34tW6JcayhRGTr3lnfArBnv8ad/GoE8uDAduEih3sEyJVzwEpa+edbeoflvKNf/NmmSO
KrX3y9960JHxVHKFuZpk9ozIbBd4k9znnXuJCdiNYNNWh0JYy00TNM5pmoetP1noDEP+rHZjgBAL
V2fFDOa4en7boPHZmoUZxXxKhT8aBJBljk/VkBMGEttav+zaSXXRlAD94nWRSGqrjDZbj3BXTyem
rwi3F8f8YmNMv5GaeMpX8VB0mvcxOy2qA2bFOlvryfKcyOzW4pEoWvuypm4962yMQ7cYkpht7DGw
B+9qmQSxJq0aHtbKr2JH6O27qxhwdNPa3loQOd7wqTEPNAiHDYN66i4pj2wm9LaD7Kwy7XCq+yVe
1yC9sk1DvUhHQxxdoSQua53JgGGsuNEYAAOD+EpNn3+rJvQVw9ifTZVMO8edZpYyyno2oeFeWJpn
+pjqp+VszmQp2qU7DaGUpsYVZ2dEwfazthetwTiKQUx7VxYDWxNo1USFs3W9Hoe8ScIqyfUxzGr0
LRfmlnzXTmj9mDdP1sMoE/+tnGqNcV7OXBodNNk/rBeXe1tL/HM7Ns5X5Yj2MtiI5jhJDc45pRMo
nBoNQU/4OAZWKbZ+5eHcf2RNNFx7aaAoHZU1xYaFqj0c8uwI53AEfL8Y/lkzTIb3+QBSbnLYoejz
e8897x448xYdnAwRPxRGY5FgACi74CB7ez5rcuPk+Z3/jirf+b3V7I+86034Qegxok2Xzkax2PVE
w3ORa+XVNGf+VWCV5TnTW5eN+fqOYY/Z9hbLYs/zU6uLhxkdTeQbgvFKwswI60m2zw3DOej5Gtz1
hmh3mmtmmHigCl6kWnZdlWO6Z+aVxKIRxm/Mre1DkTr6nuv9vVgb/x4sB/mSfcXCFG1FaEBfPk1F
yZ6QUJXqymkNIoKHZrxqGz29YDK19fO1Kw94Lds7Prk1QTzBdJvDsv/oZxRBQCuNirLH9r+kbmKf
eIRLbE6wM1qnQ0tQlU6NmExz9hVY66PR0Enqgw6rd9BzVt5sYWg/2oNUQOhtNcsXUwgCovyWuZlX
vsrBeCvoTKCjmet5JOJNhe4wZbe239fItdoynusM3ZQ1D78btEA7VnPqoQCTsxvpinZt6pd7ouR8
JqFa8pCPxnDt6p484ALoeRS5uBlTXMU7KOO06bZZ+3TGmXac1KXI7SxymulN6Hb12gPX26dIgz+w
MRm7hSFVyLH3mvnVN1Hmw9Gio2YHWcJ6d/inxPGCEAGrezHmUj/qpMXHY24wjyFA7bwyMX4PkDBz
dmbaQTqNFtp0IXeMXKwTMDY0L7LosSam3Q62e3Bh2e2w92YqLw3F9aE0s/Eyr1tMrtXc9fDSNS2G
kCyjGRUWa/CheZfOhOXGrh5zlRqRWjL3YkKqxrzjarUJLGxIIkIBF5j71nDee727U3QPAFcatlXF
euCI1sKFVtvIUURkGYv7HPoJxmGdKY7eXnuduPMQcwUDZOOpViHaginWs+beZ4FyKsjH3jO28XER
ktzj5o0ZIm46DWuVYqysrjCPaPfBME+HylXIppYijVervoMGeEtHke0hUubh2rIFcKsFLKoyYkag
1WGQXRvLFRQznamPLF4Zh2a0yM7SPOtGkzP72kDzHkmezC/WImkj5Bnf+sSFN0nfHea1qkMz7xxu
ZGXG/cBSd5NpBO8580jizvj4tYN24c5jc+dqI3ZhCVlpRJkf6Qyfj3MtyBZtGFCmpBWcarncoTh7
xfH69L1B+Jd6qf+bNumn7uu/asr+H+ylDBduwJ/1Updfm+Hr8MdO6scf+Ucn5figzRzdR8KNQRqN
/390UubfIBKYKNw3upa90e5/dFIbZAq5q8z+/d8ssHrcnIAXmJaL2BBS+r+QYG38gonBtUCqhA64
wsCg7lO//aKP7hPpAwua3cvaRHMKxsEzptg1poUyH7tVR9HvfbYA7EUZALbNYjAkhyMkAkillr1l
y33vHobPXkJbZ0Hd4yfKYAtsjQ4rte/tBy6SrRepxVjb07X87FMYQ0ys7AbNpYNhQ1i759Huh3fu
tnfSzr0kMthksdNzvX1FtDe43D6NGQUuD5q/gvZeZYbEpA+MRu8RWZqcDyarBv3coAV0omLQhRZ6
CL2Hi6r3VX9L+kyJVyoJXoZqtbJIDD2XjxBj0V3S62Wbdz14Bn1qt/yKxV13M8EATPM8j+WuxWJ4
Z7W5f1P2jfvSwyuJtaCdXnOG9LerIz2WrgtZNSITkjQNk/K7tTLND2WrdYcS1+qxQJ/x6g5O/2wO
DFVDZvLBexv479W8XPvsS3KCN+vlyF+Sq1G51k0Os+sigK++k4W1kXwZUiMaDPo7VTQsrvVl0Ym9
S6kYbMY5NTKHFvwNWJQFiDFLIwI16lvcVQMRn3VyNMUyHdbV4+wazOWkBUUPfD1Hlw+8SMsvoOTn
H3wenLsC27+1GyH+3mR14x+wmJNK0M7GeUpk85itHlgSXxG1sdpeNKKubyMblsuV7Yzmbxo5QjaL
JfbzrZ0qFotVG9WMimBPG0gwmKOPca5stTPMRhHKNyJ91RIyQCfgx5UNPDEC7b++aigN91TMIGLz
fj3ic17f9dr0jtlgdA/c85JrBHjtudVSRZId/Sbhnas7GsZ+Hm2JGj78+99lSfuYXWmO2XUqyvXa
Q+zXE6TciFPRDenUnOpkmKo29mTSF8HeFBr3DXjNkEs/u1wmvrS8//9E/W9NpywonH92ol5DZv/f
7J3HcuxI2mRfZV4AZUAgoLZAaibJpCbvBsaroLXG08+JLPHfGrOe/mtfm7Y2qyKLTAIhPj/ufvsD
5qf6dVVlEKW+7I9VlXocRk2SJYzFjLGmjjnor1XVY1UlOEH+bhBTIV2/zqcwL3n4e3jmmAv/zypL
Dqnw8B8y73KuY61/sspafKNfR1Q6K7aELmd8Yhm2h1nt7yOqJpX4asmaOrdiSJZPyfi9w6DvMN/R
4YMwvJoTLOFySMyqK7RjJWLyPzkcOOWhmhJ9b2vd8r01ebgDTa+tYE6Xcb3BCOX8aNqcIlsCSNq1
OZR9ZINg0wc6LRIXEsjboJQaIWr6sZ0S3zAGdESGLaJhGnv3eqL1zgNM9girVds95NYTnAGBPvY0
9vpHbk55svir1Lh4gfGB65wAPqdgdh3NF2OBlgTtiEoyx2dGVU3tPsWCCtIJ8I0xsNgaheyZBeFR
LLrnDtjM2LqpNHOdq4DTr8O+rEeXlK4O9lC/SajxGuijar7FWtfiYaiXiwXv6wTrAmKzde1FW7/U
pe4kt/++gP+bF5CRrYp3+s/j4WOeo90lfz/U/P5Ff7x+rvMbc31UBINsJfgYNYL94/XzjN+gEniP
XA/fHrNeTk9/HmpIAcYETrUllgm+n0Qx+OWQQ3oGliFP1QHq9Aj+g0MO7//f3z+OU8IxqRckrd2x
eOGVNvGLcTKxE6JxDGY+c2M4iT/VFa3X6WLf1I2j0TM6G5JrXuo91VlDYVUPTh8G+ki77SbqCIM6
tOBxFJNUuX1i25ThNh8r5R/X9fkBuKSQeyN1Fu0hI3PjrcHua0GsmtB1C6M1LB6iGymqKVxs17hD
hD8U+irpVh9s0hJsB/QASfC4Gmsv1dTU2674xdrtiPM6DsypCk9UH9UjorvWfPXSxfnmovFverTW
LboVg9W4znsis7DeWBuoDCnOnujjTecV9i3jBscvxuGxy4W2czrDxGiRjzpcnG0kT3WaLg9zrPd3
JIUUj0WqzeWWmGItpp1ZMd6lpUdIwWn9mFv1uFfQB33H1XKIJts7ibpNboyYs0HCVknpe1LtrNKy
ieWIyYXvJ5EZm9kKm53sHfGWe0yaEjJSngwx21svll+icYFd49i1IfPSvAwipSWhInc5NsQlttFr
LVa6rbYkJPDDt1xMR8MDX06PBCjAAec56xrZUvE3OxT1XjqVGbROmd0YRQGdaM8NkjEpumQcJtFt
hw3lbopVYU8/rMNZn7aNqLCT1W3xMx1tRqWZ5Jxp0QsTtU73KGzvmxWG1cYIjTCwtRi7V8f/xNb6
5kkN645TlEGdW/CHZIE6KO5PaduZj+bszTcmNqhL0qEt1hm+G2HGn1ZlT5s1mm9yhYfBylMfIULp
kwClsRbPxRNp7kVQZnl3JyivpikKECD0sgccS/C3c8bBhTf2JZvXkPu5mO8WrO6berZYby1+Uo2s
w40+htHzyjpNpzS+qCFIy8rj26Zpi2xZGzdm3OinheahnH//PiJ66YEeLWqplzn0Hh0EugeXw5JP
JEEa+nW0rndSox8YdwLtgcRq7FdtKB9xawjI2aE/i0zKmwUquW5N7EQ89rfVbK4fYwvNsqWwJz7J
NDY2tczyxjcBWzYNfRH7IQ3RL5rhxiZMgxg/+3YcOwrWUVyQI+hlDtx01g5miZGbFJF63MyAAf4Q
kpJmr/2rhkEqBh13k0Xfhc6NHGm37pryfZmG9ALJwN2burCFK4uXy0eDkda2dOtvHYd6WherV4IL
Sj8HxylwR+6yRPRLUCS4WMhxC0r1l1q+Q4uTwW0wvl8H/U0OHqDE4oWHehq128n1mAMOdbRJdfnB
Ytjdi7qYd2xiVcCI3Dou4Fiv0lZbZ4omXYRUbGkm44dUOzlhbPmEaH+MTths0V3aPcHK4ph2JyJf
z30BSND0DMxL7BFhxynf9gDZaXMq5hRz4VQnO9qOZ/CNtHt0QzN/4PAeHUcM+T4btHnEWj0/FHO+
7ksOwJu6rtv9ms32rWzHE5EFE20JMswQEbrpYZKgecaiHZgpW3eTNGJ1cEAKmfQnKktk7m2Y9In0
gpfOLM7Mfe6K1v1KaRVZIPZK9YYJQSdFmSHxJOEFoSu5JyPgk1wreYTyaNDgjU+7Hi2cVdACX7qW
X1kv4nqDL03cRHlZ7HRg902tRzmgsMy3OXakCxLIioLFepejgFVKxvqyDrB7lCSGwTjwDCbLvHzx
ljmBBUr05qlp56dSpy0ygha/r4pYev7o5UN9iSgYPprgid2+Ji2PsaA10rq0ptURCSasfPpx8k2F
/+6xT52fdaVPQSRmYzcxXBt8mni4OXBxZeINuY0FUjK/weFB4CU2TWBEDTaXOgVX9DjZ4oZ2Laxs
KArDa0w6qiEPy1heMdeYWvtKa75lWkreWSzTgfSaeBL2fdZi3PRpY3YP2eCm63mWrf0ws2E/mS3d
DfRD8Ogd23603jvSe07xWiwMvVfT+trz9CeBQbxPHBha6DBvx0L62OQaNjVuMO2pErp7ahbQu95j
bHQIm/4IJRvdEy2TPxF7DKGFnd3Zx1nIg+utU/xRu7LbjpB0BwNt/ZMuaR3zrkvpRhAtvSTRqzUS
fAG1Y/vrNITHsXZ5P8xxBGKdV+2hZmn/CfgISE5O43Tbj113oYuu0TeOvcytvxolZp/UIl2FufM6
vAE7Np9Nqycf7MkRPYDFcEs7TnEfkvnxkyTyATItD03ax7LxTcvy9a7QnaNj2PmPojDt7xbxd3Ry
xbCT0JZjTru5TI4W8EjBaht0nB+WDY2lbuF7IZ+in6ax+zqMi3XO7S7/Dq6ehqeCYzTxhHUyPYSN
tF/ZR7wt/opoNyyLgJ53nJp5BYVI0RE2fP6WJYknWYyi8NVDPrzM+N54KpdYuySp3dW+MIv2I13C
7M7Mldo1hj23aOEV65Fu9+y7pJPuEVjzabBWjAYxj+Upoy9+Q9IULyukeHO/NvT6BEzbiUkVXRIi
dpELfEvt4PSB9276gWOw+eJKOUK14EL1Q6+IPH9uFu1EfeV4KS3WG6TRVvsm9aW7X9oSwNvUXHhN
Z6nbg6MREONFM5WFZJgMpBdT87pJk7ShJJFWwLcGg4T03crsHxGVIRK12Wzu7L7Oj7xzSbofhE4l
6SJnxKAs9hgDt/pH6PWh3JYJKRYbY9Ss/ZDL5BGIlnpSc3Fwmg0lKpwr0z3Lc8o41RiLwMyEc16m
vjkZJH8AKkl9s4yAmjmBN75y1nA1aeW20cHw7FRgPY1LT/pGVz8w/+g3nWV551yjwQTds+o3s5PW
x86REFhFXrYfWZv2NBBHQ8dseu6q94zs9HLbS2/BFEgg6w+bA9RtqE/1xhT2VxnF3osTl7SqwJDu
zFhBbSzxYQGElFVaMHkZKyLmZf2YkBl86zEp+TJabX6o43qJAhFZK5mj5mJ+daY2vumxzbzi9QCF
dAtzlj5SJrfFShBMQ15OB+85YCZLKYCGvA2bEc9wbHyCXQrQSgv7iwz7B8vrEaNTcoc/hpUD5DbS
p4FnSe/wMJeO8d1rRIM1prAj7eRWafieeH35wqSeGFaTdsWboRuW/ZiCKm5WhmTMbczsmEbZRV+H
5L0pnbuI6U0VF2OAQ2I7uQOiEO7xB9l7gP0Onu6IHLhkQ0C9uLdzzoYuISF7uiSRYKx2lF89ZxW2
LykGey0lNK/yV0gNwdCkQczouPh6eRTddb1YtxNTyKMAGdyv0uo3a23mO6zLwxk5b2sPbfEjTgUI
EZKU88NOGcBhNqVLMeNS+xJZTviViV64GyudjET+mmsXwMgNt7GYM+qvTfjTMLRw/yRtlEqiQmX6
vUYRLX26c0q/1uKcpcWcbqnMid/ycEa/ALxA+LJIyjbC4dzWs5fygNvuTdYSdhQxkURGjLAyFxpd
Im0zHNzEA2stRZS9E5Vi0PAdTpThgE0Adta1sLdNuK43mWaggTH8PfMb5sQfJMm3cE16bOB9fyjq
BneDZ5bHJic+U2TrW72gAzErNdrPyGycC94I7YdBBt7vGfr/Dv7/W4Gg4C76/7sl3/342n6SY/y3
IdXvX/Tn6N/6zWSsDyKKy5tBv/p+fw2pJEMqzMBclBX2DCz15yVZDbYIXSFmh2ury/jor0syt9x/
cCkmxObvl2Lu3dzMDfBWR6elhx/s75fi3ARVX8J4PJvF6jERXbNWqEGpKZt0Kc+jg7pWF8dkDEkt
HTTurmhc07PltvaxW/vwKS+gIv2SH1/1INv3ou3s80x4l/T7nIZvbGPxyB7XajtcjsO77IrirnVJ
Sthghh92Xu8md4KmryCzWmzLBJcKnGoxN7rFMu96QhIhW/Rmx65f4L3Vywthq8OjV9oiBUWKslfm
2NNJaq07+DMdu+96M4Wvgx5reL/dyqNmxy0eW9G/2vQjHNnn571jONHFJkT8kTyh9nGOzHBH45h9
v4b9vNUmsz+hobOLYA4IRtuYaWSXTucnWZM/k6s0fzpO0RySrgoRZld7vjQNCDcDuPitKbJhIXQk
ZWuIRrHzYsd4cqwmfrRmO92OOmcBX9PL+dxGkzi7TfdS5Ekf+QYDDMoJRxMd2qzXZyjwLNCN+Ws2
z23nKzr+oGtjcm4QQTMViNB9AQgG9Gj4G77kWVrc4Q+Ld/gU1hMIsiHwl5nRJh8Jt0wJ/3Sp3dOS
i/A6aorz6H7K0nTnpHO2WWMrDTrb8w76VE3nOS6HM70gyV1sFDa6RTEtT0vfDLts9gCx7Ezcu+3c
HRbRlLecaKaz7MrlgFZlfjLYq05gvj0eS5FTD5tp2bYUNcauNhbusahZcVfuXzsGMcAeYV4+aL1u
PhEh3H+Ynsh/LqLTn8U4kHeSzeV90VkacXfODmSgf+ez4iCBJ8m74Bkr3s02GXeGi+CKhE8AZZnh
uiVAZQvFN39vpq6758JWnck0ngPPJAAMomjhpOVpnvfNNFM2jKY1WJK1ldslNWpxtpV2GT+UnWJh
bNDoLX6t1S/0aty5DFR91yOHQIzuTTmMyV6aVn0n4eFxPOpMZ8U6BNAYOB4NgsC3I9rKuV6JgM9B
+A76yJGUk3Z6Qd8ueaai9T6Df6s57obaN45QHEHDqCOBpplssBlGtcNNyXiX9QuJOgGm8nE7pZtU
y633xCj0N3yR8xnjpb6NSXe+TZwayAqL+vjQAhd/NHkNYKzl9XxTW0n07MnMuncbpg1uHe1B+MpL
onf9o8Cou8Vx3mN4Hdes4JksHd+qyI3yoWCsjd31cHndRCufn5CjcDTTlB3ZM+jIxJxAImVD8xIE
OakLPlW4xSvLSH1Zynw9lFipCdkrrG2i1bAvhJhx6x/rOnCIf9y2RDbcE04X3bexFBu7sc0vecKk
yOfdnt+6kCA9RdIj+o2USDAt15MXoc3GwbLD4jSsMJIEtVMsGIxaY407PE/6fRrCtAak99Ktq2Vu
9OoYzKeZVFRhHcimCVlJknrdrEX1PTd0yKXBLuZbc8UBxp/GSrINY3btNeKCgn2H4WcY5FoEY0oi
YhWsadmI3QwRU/i1W88PIteNt7YLyyEAYmxrSj/sCvPrLdKAO9PfZ0bcD8WuJctAHQ+mxXaj7awP
nf4Ukpaw2C+RU9T9Y09V8niouCcn5WmtRaetQe+mxVxvcKVl01ObzhFcT5TRPBDETq5P1ksxplPj
bN2aZuidxk04/b44THmyPZFibcvGxQj433PAfzkHsIOroLj/PC1/UjL9/wk+24qp+d9OA3986R+n
Acf9zeJbOSqSzLCufPQfhwHXpAMPU/Qv5PSfgpX1Gz42nhaBG1SqafpfhwETdoAZukXjKXC1UFrW
PzgcUED898MB43wOB4zk+Z42Upv+/yhWAxbZEiGaFvIRIIApLSdfvJCJt495hwgoFSSfsI65Dx6t
1uzyCaOpyaa1ZWTPpUnXHIznNEzMN0aly4VgxvJp7OyQgFdjvtSrCefj4Ks4MCmEI6M/yLpJtBHR
NSsrHFZzZhcbeG5MT9i5PfPs5rBkmVFpJJeBTvDON3mzbfBF4vdblskIMli0eUOSS/mzK0AGcfIu
kkaJTtKjl84XrsySCj+SO7d6o5mnlo4W7oC2VaYbAr1EfBxn7uRMJ+xbQWpIzdg1NI8DxluCVmkU
8eZEL7czlo4PveCH2jRF2P/gv2KMGK5KQt3DoexMuFdcZnzjfNnSMWse57C0W/jmniJ6jJUWgU0g
Iltz1YufCX/wgxVa88UurSlirJ6E31fbwtqcYUp+q1cNxjrkJ3uTbPpv5aRnj6z184X0s/ie+Ur5
XHdudd/TjrzcsPZGBAdx38bKEzsulrGC2BaOEsTl+2tcuw9zxs/VMGnGzW6E3FJ1M8Fej9buPKzJ
Wn8xIte9hDlNnz6Ar25sQjwdJYPTqdo5bkFtM8Au8Tr1PX5o72JR7AaszqH30PH5ccFquF9TZrhf
43g6xwMc1xyPRCMnFlMrw2jcB03ytKRZXJDX6lqHwoiKgIGo8RxWmTxiZTdPWp7I4zw4FSOwBtfx
KotlazupcYIsnIImzwa5SVA7usOqFT2/s2Fyb02ar9NaNB+qge2txk9sMrVqECNIz+q+G1rBZtMz
OMCQuHgPcx3hIl2k9yQwijwwqp6jrTeDSwfWaH4R4dx1Pk+eRfpurE2f7poBgrI7n2vslWruo0cn
OadlcggdBrRHSpLFsk9IAzqLUBunYBIOvIg+uyUhrBwz+yMWWIsM7KkeHh2DbvhzjExwYUZmEE/U
2vZLaSzyNoZinCISBXBuw8KDrMHMGu1q7iMGCV5IXlw60Wij8UG0h8VKKvejGavR13oPcgcLqRny
99EmNCOirpppS6udu8M7uorhEFat1p96G0/aMW+aJXlDH/b6E64NC2yfx+fdCSPtCcS3C0QW3uLf
Ausb++4tboo7Qtqjcz7grPuWWhqQixpkVVI7RYzdyo3DRvhiEcC+S9aFoJW1X7cheVg7nXByn5zd
nKjbaHpNIFQ3mhdXtx1WNOxZjI8GAwSfEwujnFQYWO55hl5tO4zsA6+39lxyXAcAbFGUB8ssakRm
oyaAQuBZozaK86/oIuZ9/AyHRU84iSB+D5uln7FVuXp6rAZsZItXPlYrxnOA5mMKfAkoW82nidRU
hC9s3pLxC8LDvJ+olvxuraw0echRMVz3s2swkEqEQRxL75AWPT/11GFuiPrdu31qvbLZMsgYhoGc
jKG6n1z90TAZ9I8tYo2mPN6RJMtgJGuYpcIGOSy7oKNw7kbHQPsDcY/0XxF+UKQzHeapyZ9Ke3Tv
07FC31N+cZl348Ug/2DX0BhEFEO87KW93iWNu+xz0pOCOO5yigkzw6cqumMkSbl70rZVvcnc9aMK
4buX3Llf6/a2x5GPyz4eg8ysSH4IS/Ld6Om9Bb6d7hl+uqQoV189Vtt9mRjuNgmJhq7aPoUAtrqg
MkRzWKsqwUg3aqe0SEgGypfRH5zoS5UIzL1GnASZs9BF5Q2Vn/dV+0Zu0nTQi6h/4QTe82BM2j5q
559Da+f7JU6Xbd9OxvNoiPCLmZHQ7M9hLFXRRZH6jK/142BXU3YwC2ndlE1C+xfZyPDSGET29ZDJ
k4stP1D9Ew9DHXv7hM6oTVpg9OstCRE62qtztyARAfTC7qdbt0l6mM+GUW2DJdYkWHuLWh3frZ7b
fC2rrALHJ03onRDGYmcMI4PURLi7ousJNlnH+gP7t/4Gratt+3GANKZ/5g67S3VDEE17KMzCfTD5
B7edPWv3dF/RWtGAueNSB+DtVvuuFaEx+9DGmXEiyCM6e1nhephfmWTmfTI4QSZAz3wGaOtGThxS
LULng1EY5p0Jg+6vVLmRIlKXyd6pQnfv1EQKQTNjsqVNkSzYQXvta73DhdKVDeAVSL5uto92mFYP
M7Xjd2aalRu355Mech4DSff7TMTCbMTyIAStMGMnMe5ifvhhdrL4MRRtsbHpEyBbtg8ni33QXk4l
swwzSJeGS4OVGC8Vx9nHGLfEd87w0bb2yHxoQvFF84afSVJG77awZ1/DxUsUifVSSiJueKcotCaw
A6cD69y6NOFL1Mr9bKZfQkL0CN209msle38NcVaZyfK+IMeRx1IRt+q0n02R01dj6kcq77Nta4j6
RxQSpJGlGlk5rpkeRjGUVQBKSGi6HRqXvLMxznZT9lAa9l0Z9eW5WNthW3C1ZLYOXdcHxLRN9bYz
ipXppxrZFd33Aff0Um0U4hDgrDHx95pjfnCMdCXKUCH0nlpcM4sUQiQIN+gld3piQc1tXIbJJ4mP
z5qwMRFNjf4FeiY5ABg6P1qjfYTL+Rmil7ltQuaY5nyU3FQguftkP2c6SX1LuJ5rfcAVZTYfVUTu
AGXzJy7CIWtnXW9Bcoi7wWB/SOelOJpjzW0N6jm1jZcEP+yZyhTqIRPb2IFNenuR9nFQ6+m+Hcnz
q/r5Sa5xp4QsNLfRCoY4Xb+DfUqiY4fqKWQiHSSQ06RIFOayISdrxJdBIfpSdsVuHioc75r7LYzE
u0FwzIfeUMfGTCrHAWNhGOh5rqxvhSiMY7IOJBWBc97U5VjdDI344RRTwLnge0f0dYzhLK9p6uim
g1uHqd+hJm6ThnSY0bXjPScW59HQlggtaEp3eJDne7I0wgtxd6eWP3qVU+2BDSReOhlYTs0jarjR
ZolnsWGAZdyZdfpCkrj9GCIp7espsQbgV3ztBK1UoKSApKPNbxfhh2BLP2tNZ1ODvtKZkuzVYbMx
yvvK6aNATh75TNVPLtyHhh4QP9b0+3Dq7tecbMAYUqPtiFSriy9tzhxg7ebnqRsuKCv4cspbTmuk
8tjrwnsfzsRrMQ0KR+Jwl5TXHI8e7IdlJoT+EQJpncvUdc920XAXtFtfLA50mZYV60W0QBD/Xvz+
N5iUMCxVUf2fL363CfbJoU3+NgD+/Yv+xKQgET28s44gcE4w4/2TkbJ+Y0EUcFO/Dn51XLKGYesC
OFsQg8F/nO//BwIO7Ci4O6pmPpNY+H901zOVQfYXAy2JLA7GXR1HLsnidLSpf/4LHdUadtookfi0
MqyAUMojm9wWmYZiQdmW3HaiwiH1zaoek3op79bJU50lhW4EpTekW5Aq/SntsWBsW8SU+5hjEKMz
DfWOMJj9zA3x1JPDAoKEA2mDZ801CaXyVKlANjlI41Z8M3K9OOs4Hh2/Evm5JhHnAsfj7guSWfeh
Ezp7oBHZB9SghRvleyUiKG6PmTTt26FbQnxkXawF5rD0hD6Q7KpAFPsNl1ZFEhNZzMHMmTZQoxWy
zER/GEsCy6pGSsZZmIqOg/41y9bqk6xubIKZSSxYO7v9ln8hIr/ZnneZqq2ZwpmpDZgn0bpxWOlH
Ywnlgdm59m3C7fbTqRPv3kxL91iFRfsjmkXIeZz8jUtCLu6+N9lwJSjFKc0YzPs4/hZUzVT8SPVK
D1IrXf06rwk1YSWjFV4vo5uOW+C30o4gyo26EnekK5Xo9M07mEvzmMIJ7LPYHV/iuu+fPK+fAX60
tf2K7yN6b2kf84KB6CnftiPAhLUkvwhDzTHXM2A4oUSi2PIyhGclHzVXJUnI6Y1dmTjbocy/MqPu
D57SnwylRK1Kk0p0qJo1sk5kKRD8qlSrOszHADlZGYLcjkXVTtT5fxlEyx8Vycu7ql98SgPfTWli
APD5zWKA+bdVYfOLKgWtU2KaoWS1VAlscxPmz1Up47eMsqgsmMqa0/RC9cG2sK3UIDJXyXbxVcKD
Yc+OjdL1hqvEN1zlPm7o4S6m/4jUFxKFgkkJg9D/pJiQZTj95P7AIBjXbJn4Zd6te2pxGIvaDFJl
szjnqK3YyjnO+wJG4LbutfQsriJldhUsq6t4aSkdM7xKmt4Qya9YszBNZrVFIpZSP6taLw5rvUbO
ZlTqaOWWBrH0lvcQhUtMG5fG7oeaGiOr2q11xwB0/FYq1VVX+ut0lWIJ0OW0r/TZ9SrVpkq19ZR+
q12l3PAq63pK4W2uYm+sdN/xKgGPS2Z89F4elkFUNgN6eNl8aTkNBF49GZ9ZS3cBTFNPANTk5O5B
mhkGytb1KiosoUq8qxwdXqXpQanU5qjHN40ey6+D3eCOMCQPbUAFEdp2VLpfUqV3EyyD9I124D2T
VIcgvlzFcXkVymulmbtKPbeUjo637SsX3xpdvzVvjcFeflh1i/DeYfUrVZBj+Z5epfn8KtOXSrHv
r+L9onR8Vyn6xVXc75XOj7hL0EffPhgkzKGkJ7zPrSIDqIaXW1fRArgIAFUUQUByW0Jjmwd/rPiC
rDJIBtU70OMrftAqEqG6QgnYdp1AU6TCqJgFoeiF6goyaFeoQTrwDUKRDqtiHsYr/uBdUQhHURHR
Ah+BOxhUwlPURHsFKELFUmRXrIJzEYjFqmiL8ApegFzXX8YrjiEVmUFCKZCGpXgNqciN6gpx0EE4
XhZFdoSRB+SRXoEPT7EfmqJAbMWDNIoMIWfbuDWvuEh/RUdMa2nDwIO0uY+h2jgzwq9tsKeOp8FB
0A8MvX6idKOmadybblq7TQJO2Fy7S+ck64W2t7LMHzxunpsxSrhWZyyblSGb/awXz1xihn2noicT
LEMjlnT66jmkEOnt9RyqGmoqv6/mONPFY9jNpjKHguBbZQjJdTe9nxHrxuFG5o1d9oHkEJ68rRqc
2GFhOJXp7y6Z74ClcWsaff/OHIYY1ZB2Jp8+TRs39RTuVqX3UeOqP9pKA2RZRA1UuuDIMMIiePyx
8Vz3cTBoXff1JA1fJ6UpYqBEXiydcjrFSnN0r/IjQ6gB3pBOKH2YiwsiK+0nSrHsk0zeeVHB1Vjp
melV2jSUyjkXS3I3KOWzuYqghCcVd6mHrDXYGazYVS7tlHI6XUVUzuP2uVHK6jrjqLEsEgv9Vimv
UmmwGMSn5+gqzMZKozWV64VMWwwwvfLCLCiDd15V449RTpmIX/xbrdwz09Ja+1kperPy1gA6YLNZ
G209REa+7FK5CH82+mFLsfCwza4mnUH5dUTP5I9pHx6eKb00+dD6lvL2hFebD/OG8HEC0sA8jCI8
VwS1lcoVtCh/UKScQurzfG6Ve8hLVzKgJWhZ2rTafXa1GQkxWQ+5t8bf4aCSQzJrExUWzVzz39H7
5bQox5LI2onDtucdR+Vn4nBfXEblceJ9wu5UKucTzC0mqO5qiFqv3qirTWpQjqnJ1DFPdcpHxRTW
2MbKW5U2ubwflN9qdbz52LExMkwQ012JLUtX/izjatWylGsrUf4tfQqzY6c8XeXV3kW+O1avuFW2
L5mbVsBM3dklY5pdQuUPgzSdNllv2B9CuccEs+dtD38LzXa1l63TZK04noWonkoMaImAwtqOsRvX
N83VoqYzTIhhISfvI1EeNstgXHGxr9Y2ptEN9Wc2rR8E86KvnoXdJ+xjv/vilqtJjo2fT77iwov/
LdrMnuku8Eo462rPdoK4LO0wSDHerYao0pv+GjRCKm/8btWUbn4Km1c8oDRRt7bttLYRPhPY6tW+
NYhlGPs9wQSJPpx4ZEWbnUCJsa18MjP74Ow7v2WZVn5Lx1kANw3OM7fB+tQ0yTMk0bItzKY4Ok2H
IDhAeTnV/Gjn6wcL4E+ZxJ9pb3841Mt+xR+DWCtbK/I7a/hwPC092I6bXxoj306y0M78cQTX5To7
llnf/DRXC3qnr+GM/akBRMWznuSHtlr6B9OasiUYBhlDdrWE6D67gETbYhXrQ7xy3sG0N1nFHz0+
/2pn/007w4YFZPKfr1CvoFXoRH9XzX7/oj9VMxQwic2L6xOFMgIu869bFLIZjAyKFdIVVise3r8g
GtP7DecVahsojW1T5gR58z93Kb4bUWMOT4mAb7H/yV3KMfDo/nqXIv7Ic1Qdlg3Eg99EpSH9epdy
R7uqqiUyDi5tFfmEmuQGLbfCYC2Xhmh5EuzK8MtSuhaxEG4Uv+gw44HUzYoi9Gi4Mys78b12NHcQ
a/QoA867F7YdujRg4TkGLyRUYOk5Ytx9JjRzhskcmk+gkawl244P+IXjQPkqesCUmqqUnNMHudxW
WFY3VRx5Z7nM1idm2RzERXTWp1mTCeMLW3qvPQ30P7LZmV+YBRfzD8/Bc5qeEm4rd3HlbFs2NTea
0xs9zWp3b9PQ/TwRrdqn5N0P8m7ohWFsRFxpz5q0akZztEdTPZNGWIBb2IEiaSTygDnfGRR6b6Zm
0L5SH4220PWjy8dSCdUaPEVkKBlDwCWPl10XZsXJj/Vxx8KGa6bLvspiLW8iakkYhqxyY7Uye2/T
jvhbI5QbDVEvgAeeXoVIFwqxKSc7SrrY9xWyFevxqlNHrAbKOmrgB7bjZDN0JFzEegcwmJCJ4Dfr
2DivlN6PfeAwseUo16Kf+WT+stOHXpQn9FpjLb0nE3htdhq67HMLrfo51BJKxM6n+kNGksGMR9AH
NJH6lDODzyKuPOPZyyymcItgyh0lPblMeW3x7XuMcaiJVU8PJaIBN9e+I1XTrMu82LoWA3HfjTlJ
kgbRlNluYru7MdqcJJLr/80NKsCDsLZb228GsvKCJS74GpoSM+dcl3PNWkzYTWD1RfiaSpJbA2uw
UUJGqW5HcbQam2i2vFe3ykwU3j70Xo1BA1FqXSUvea00npmV8GsUCn+ZnGpAE/m/7J3HjuRYlm1/
pfDmTJCXl2rwJkZh2rV7hMeE8FBUl1rz69+yzO7qyCxUNQroSQNvViIi3M2MRt5z9t5rD555NIFq
fTTIo7ToDOwrmZ777eyRF+d1lkZ9FolRAHSRGy/od/qJYFDjOVNsKj0RteYXmEG0JKGT5Ly75RQ3
74SmkIeTmCx0wAnVzMEhOiArXAdJ+Q5qNue6foj15Dg0U7YBF8qH78hlME1Y66OVsGbNeMdJSe5V
ng+tD7Vh6ifWE5DmyVNBkN8t9u3Fu9vA7E2fIe9gNy/8L1vrmEdplwiRxKPIwfRD825z5PKl1vAi
YoSyBzeb7MvvPxG2frFEk2abRyokuDZbzBqZn8/4v+euGFzflBbDn5zFtO27zpAfBLdBy0gqJc62
3jXvrTAQ01tQnIcEirh8ZGCHfW+2UMwyk3LekN23SQG8yPj3E5Pg034t2f6l5Mw+yRsT6e3335Ii
1zE5qJXGEt80LH5Zq7G5yjRhGndep4hmqKInRwGNn88ZSGS7PaMF1UVE3wIfqdBv749Le1l/N6ze
DWjTI2V0Nf/do4AkxweVkDTVaKLcM9VxQXj4VfbOrLhDOZzqDpIN0RplYHJ/bpvFFYmudLumDAFQ
JrE0t2ScIjJ1doxywTXVFAs7mmKYg8ETG9Ase37SZ3d5mPK1eTe50ky8dTCCuU4p7dp50msugzv6
dWNhfreE1jJYCLw6Y4lO6K/sWG9Ulficc15848O004A8sPGUA36mF6jrm/dBjj1dWblYnieu4n0+
u2XEZgAj3pRYj2M29N9yRn2TDBVfC+Wp5dm1NY4oAk2BfcDc8WJ4Ay62LjVeXUllPGwQC1FvgMRL
xs6j940KrWTaDtQyOYeZzPE3OkxphDPASFN/E8/oeKJH+07wHh9ZQ/D+rksav3WkJC82rTcTP7Cc
70nzyxAXoaDmnBFxJ9oYr1jZUdll0ne8r5WbwjTgiYGI0VRP5BTtm8Sl8nrnFKlgVbA5EVzU9Yd0
SvMUd0N2AKJqfFeWs725ybg4EWiG/NKyvflhssN4GS1rPTYlB9Y1V7FfZ9or0KDuLRWSMtu2ANav
PDfbAzOCr71olK2Dm+Z/W6pId5Htq0Tfftz8mnwDSNCfXYtWht1EYlLS9Byb7yzB+jONHQ4ah3CM
47h1xbVE3A+sGaIznjIi/H4Wb86FOog7hs/yB+N9inDjolOgpbSoToCt79SsPRmlJpYQIw3NFIU7
9cZFQedsHzdp4vHQ4SPdlnkbzOGgb4vmOiMD7QptjB+qqeNusjroIVozPlGt9NlMZrx91K1vmOUo
A740RaWL1xg86huk+u4ZOPhDak3tEwfjZDfj3XuiAtB5rhxCW2ClBve+RRo6ZGQTbt3y+udEzMtZ
xu7LlrCgZHdJVwYArm5P4Q4MeT431Rymbrl98VGAGzJ7YyMeegrCdnbZpFao9FQndrXBrCOyoz/2
VJ+Gi4DgrvLOuA033bJLwc82oaJ9Vg/SOJ2/0G1b0p0iiSdFejmO5WFtlRp9zSBeNZlt7buLPrwQ
23LfMzIkPY9CU78fczlif9Sa42SbXNUzCtzC4/0MNG+8Qxv7csM6Xxug0Own56WxiWXFwwX9AqMv
DJTn1dOIBS658Uil2PBzArz2ZfWSuv1YBl1NjxluwYR5Y8OIrwqilG33WRA1eUxTI8bAj5bFUXC5
TAPFPAqn4eTYUMF6U7vvusEOe2GCOF6d8oca5uXS3vRcyojFY54N07ub2XGQlKn94DWeBRdiBu9U
VCmqGn6q5s5hmLrq7M2qIB117VEWdG85cqR6oFTObpL2cmr6svqSjdBtWfK9kvPTT4XevQ08Emm9
5Trtc/3dEMkxn/P+ogH6/zzPiYm9qFg734h7A0x8mp77RCb3JpGu6+h0B3ech13hCOZGHT1/59TN
Ii9zSgh4Iknti1SaKsBLSGcWnP07m8mcvEF6Yb1dH4QyPsW5hI6sbEQ2UUu/mocisBelAqOZuA4E
Alm6kBVMTC/ebr4DGt1sHuGRJzGl7MACmI9uIu0HuteH55q9KQ96xDdeTzr4xUaA0RkAb3WFtWvG
5NXWW2DJKO2QypaGLSLwaW8oy+csB32GoShXkaiMLFiEyhHzoLnuxgE7027t0/ShXDozKkx9fdG7
bjrTJqh/0jr+4oSmduUONDH0g2oJaF96NAedBoOKjoBgEJTJITK3T6lVsmNGW5zDsa6wWaVzbZxG
EnOP2Y0t3MX2EfkBEluRrK96r2KbGjYCd2P6OYdY5kNogBMJfDd5nRCid06/DDxxe/Nkk9c8LHoC
DMpL3cgebT6HoctnanQQITbfdSiPiUAIW3wTSurGyNsSas5Gno4q9aBpO6VCNoQ61ni88AlY3zPS
uhP17LDzkMchymXeZwHgLNxXCW1/fVU+pbFdsWbNUxlsa9Kf2SZLWqfS9dZuJetoFmLB68H9FB/O
QomIw/3mO5qN/RMlcA6zwra2Q+oN6htbhvbgdR4B9dvRCnUaDMzE/nSTRkkQtcxtLGgttdZ0lPru
6I7XuTFIA64KJtzUTkGBWHTGTj7dbb3bmK8834rrAFkbh0jpsenKh8z0+wIxaCyXxH5SngbgyqJT
ezcNOceCapZfC0PoSeTZFRbiSecsWNhGcU948jmhZeRSFX0fImoSoc17N37sOQZchWoa7ryrmXx2
SsSZYDNx/8XSe09Go37a4hk2YpmkUVuM64VNjHXXVmlLNQpZl2CsLYjrtRrOi9Gue7fKlgfDGvqX
dC5P7dyeG3dbgtYTGI37uv9mc7fcQ6LuTsZkxfsucd84qM2k4zu28518zKeVmh9rKgoq25YyUSfM
37MRZZTjQdWRlMr5tarqHOS8vT2NFAd9XYpSEQrAxk43XIXsa1a3tJWJRl9Q9lV+WzHyPWjeut1r
6dZlIbRoa/zqDs1LQ7FFQdoSGk4s9mgjpnZEbtq32B+fakN9Iu+0pOdKtU58MSv9Y5i95rpgbsaM
zbVwLOYs5nPO1yJ0izx1nshhWEA2Sv5TN++6ooof6ga4qYUTucMcYzXzpy3FQCLNzk2ch0Q07QNP
vyOdo6U2H36Z5B/+kBP/Vo3lAyDyof+//4ecyp8GY083LbRKAL2kliSkpz8Pxok3Y41LONc6XSeP
tA54Fxq5xMu2Ov13j8jo/l//PAs99S8/UAIDtoQ0HV1yVLg5XH9RNZHIV0y2fX2ogKJRMcLRvefG
/FFoQ5kGiILfUgWl+i6Z3NE8dh2GudXvCZOVV0Q4xZ2PL3ZoA3Po7mFWGXelZm8IXSC93qZ08EK0
DA6Acqtijm2l3X/XE930GOjhnTwLW6Nxpl0w52XjyDGzya2P2prm4Rn7oNVH22Dg7/SpAjLlF/Aq
wATxUjCwJbT1cNZPmEWgYBovxO6a95m88Hcumeqni9f92QS/R8i35e7h24gL+FEBNF6IBxKq4N6p
M2CR+H3cNGAHETWjXb93kxqj4K0D+J7AnWHvu9Swwb8bbv3++yxc2q3x3xSW/4V7Iz3dsWzJpgb0
jc5y5i8fesEJGdQqhRjWepuXrSxnNqC8jnHtX3/at3/oFwn7jx9EszTHAIlc/teri3U4/FPFD1Kp
4iNuXNroh6rl8+G7R2VjxhqV2ZCMEAUedfP+7/50VwdwgoAvbzy1G2Lo10ut0VAw6QapD13eiBeb
RHaQtdnK+VF1hxq+tE2tkcMQoM0lY9u//uGG8Q+vHWOR0MGrGEBO/uG1z1gw4zruoAzTy4l/eQbk
cHWKVrxUec/YDH6FFz/JtT6TnuGMqnfVyOBXJY46JHIxXn7/hf7/evO/WW8KogHcZP75evNKAc4P
Win+tN/8j7/1XxYRrt/b7hBXLnfKX0BWnvMbMUBYOPTZmIQAYOL8PSTo/Wa6BI3w+giugF9zAdIE
zeMRKsTDf1uK4jD5N3IBhiH+suDUMWCAHnQoDeAX1Nml/vlaN9PCo+QBUlOla3XakjmFaREswG0P
2WAsTYghg4FwxWjWRcttcA7tZjB/LIsiRFduGVFaxLnrgmvCq2mLzrdPy6akfDM8ZQKgAK2auCJ5
ZSXg+FliW58mKYcryfnh4eY8iaOszln/16nmXJOZ/5OU3uI1YK3T4oAvtToTa9sO5YKW1A3mV22W
8XrW+3Zx4WaI4TLlwN5ezSIenUu/tQBtR2XP5MFlaY7f842AUSWoeYltPPNejqNu7RFji552mE43
CdyY4ztfuxnOOmKFdi2wYm27tiudJir4bJ+TGJChb2IdK8IGnvCrQcBpl6RYQv0ugzHDVgk7utPV
7bONW5/8Of1CYoFJ33prmKE+wcNqM4bkSYh9LrKXtTCLBxvlPD/wR8wrcndMQmIxswMVOFheOlIR
4WBoH0tBsxFW53I+sgDR2Dx7ZsjB58YrcTGObanTWgjTWv9k6Mq6Utm4hMh9t7nb81ruEtDK3zZw
ss+NY8Uv3bCS3AMJZmoBvcOWOgP142bmQIX5PJFYJ2wn8Kaynec9aDhMj0t1sr0aUH5DqpFDw4zN
xO5jwPAkNc6UvSTgbJMmDZ2Mo1NbJZKod5yU3YEBkXQ2sc6dGObDms8bfnKXNg9fAuOLXIpCD7Iu
xWciJBBgNqJRL55iI7gbkhnjJHZ5V6Ez0Bf2mrhQ3/RwrCRLiXCmvazv92K8rbSOaWIR/ihzhT/1
A/dtl/DJKWNnWcoLS/yBgrrdu82CMr3ocRXaXoVBcdqeXE7rN2iR8oviBjnL0HdJsNNck9resOvG
oWc/tWkmGqMl5lBt8eTjI2p2lea8FOTo2Gsck7G7Wit1ZNu87ZysvpPtBm/TKvaSHpQTIZioAuT2
SvieVAKeqI4fEyXowJio1ndDn6mhdLI4iqf1WWfUwvOSpthYWxY3paYfG0sWEfxCcQIvx5DZG33Y
a1glOShkJzkqxgq3zs6aWrej3vLVFLZiO7SKL/SVU41DUv/W7M6qc8iniF6SgXgAgcljn0Eerjt1
wquRnFuWnvgUylt33LqvCU7gyhwjdry8PxoeYxol/aTVcIw1tAz5SZr+wE7/2VkM3GFxDVS8hcnv
yY7lEAmnOYCFnVwqa+EJla00GOfsJTMgXVAyDbQMC8wKjWIP/Pb5OWcqxoe9DM0Ri/34g8XJGrip
yZvDl42Crts805i7KtkG8nTtsZqt59ZUT4WbXTYj3nvdiOdKbC8ZOGlWm94JG/8TtXXHCtE8oKEm
THLe/YQ2RneSr33b7t11ueaED3eeNS4RvJohnOLt1nMl32wT0XCuyj4wSvUDLz52zIq+u1yl43OG
s5OMpIHjwe7h+VjcBDP3KhvwG4T7lh3PeINNh5CPdOxUIdNy5TsU63JtNf2tQjK196JHhNEwqRzc
Tn1DEMcPLnTvZHO7PI1URuOUN/M7psH8MLpmGvCtMB6TtH2cGMhv5Bd3q6u7BTPLh7rdzYoxBn3D
WKqdm0bIp0y09qlubi5gI++ihv3Tu9NS1IkVBETS8jNlPjhQKQ2IPQOWZhvuyvgXe6dxzcyw57b+
yGaS49Zme8cid55iu3ucp0GPuE245zrXZocB0h4+cV+huQ3mEdOSOdCsI+gyaIdi2FP8aEU62dM7
cjspIK3Fw1GgP23kVgKZl+99Iih/8sZ7eoOiqkUmWnKmx63qn3obUAnLFtbzeh7lZmHy69XyI5XZ
XWGmPB3gpVBzQCggH17YhNuRYAv5PBfztdHazsf7kL86Wv5q0QCCk276oL/hs52Ioxgtm+t4pMND
Ec5NxRwBbrsZHvaQZ2l3ylt5J4yk3c9u941iYyu0uq0/6IN4aWKn4AIuYH6XWJ/OVjtjRTbMp5Et
turTN+wrG12hG7YXvHrcaUNb875IjykB3YAyUO6ljeY+UBO178mhP4EBI77VTAnobHtz/+g8VfSu
kL5zbuB/WmuFM12ddQqnFkEeEFHEplKgJYJTaSfcIFDFaopGV+Xu4RJtx7QeDswqpymjJ31QeuYn
ngYTYyLDXxfK3wiDkZ2SN8asvLWlanxeN7atewd6XD6mJfyOzenaqxozrF7zVIeMPunXBpGFNNR4
WTJG9mpWr4aESxvXV2/aeLDm8LMEO6iJSr82c8pv01IdPHf9nOPHpIUwpUYadcKXlpOdp9U8Gl1p
RDKNXeEnlrXdLZZk6gYz1wTUbxpnK7OSCI/9uuvHxHyHtdc8mbpRVDutG6qGIflW4lma1UOiTbSF
111q009MH0A24yqq6THGn9tE1a19TiRV7Gesyw7eCPo7NqmQ0ebb4xnOWs2CTXMBZemOeNOwpN3r
STNR+7cqmWTwt/LxCWyWe/T6Yjstk/kqF5YFLL40kEtlNRaIvbOJyvd706uU9TodeM6KEEXiG262
ByN1Mn+Q8/DUW9UDCWyN7l7tEZLQeF8s2ace5140LnZ9wo3xye2leiGqchKaMYQGL48mYdV+4fYq
ER/W+CPfjC6crbhDNNDwKNVTurfJ7O1clzm0xEmDp396xxHRh5UOvomuvIKl1jDvvKl3f9qjlQSj
1SAspqb6qF1nfXZmDT/I6L6T12kw95fOm+NsBLxiW/eFk+ZktyqdeoYbmJ0Mzc40ieQsoHzniA8s
Bw5lFjijMm7IBJbDpKNnpITB0hVfV11ji+FV0yezn0LKudM7zKvkuCYe2fj+jNJ3sw4s/gbSZdfo
nTr321YfSGFJzghVckVzOgwFbTQaK99wZGX35JaCGJZw0/GRmkX3sDl2+0nbvEM9rMvLxKo2MjCs
UqKwFdmFMrLvtC6QO6FgqPVsLxi7eHzNcgNqtOnhtOlA+c00BaO+8oDIPIp6hYmb0xJ6Re40F3eV
aWZ+Laz2khs9+tPQrxdY2N6BHeYSOGn7TSXljTqkMuOhYYP7zA2yX0JzNIlh2b8348oq6SOAkwUP
r16r3luiNufEZg+rOAu+6TPeRL92lUugRq7mc5maxtdKWYCKMjKI7TbgC4wxvGiG4sAw8p4L71aK
hjucA/B0ckZqWjOq7ypT3McMKjSn0K8zxqfUU0HJycMH6jbBFCtjo5zTczfi4UZATJ7ZBA6dceWg
5ZfV9NZ529EW8/c6tu19bwCulCxcy6FZwpFA3xFLgiBTZXkkevU9n9zJysnzeNlEo2LNYm2R45dp
wPMtNppVqyZGTFM1VdxxyzOwqA+prJrdGuM0aFxDHUz2xFiw8ulUAXWMO/MuT3PzNZM2PL0GLE+W
lvWZgEtJHs17Xrc0UlPbPXXpJPe68RXrEIcmsPxhXsavRtLho25ZjmrSJOTUNEFPOtKdQIF19goi
s1WHreLaK1G6kUOFcROXGz+TU+AqfJ91l1lIzDaqJMok4dH0y+wNF5tDPsIYb3PpNa8LLeChA75/
Z2XlecYyHRBLKQPGlZxLBNreLnEanouqpm1FPnkztFE7Mb+panyl4cy6Zy/1OJTMKgKrXrTMlfS7
BtsrbcwYB6zuCkNhiihhEm9qJnk0qLJ8XajxwfANVxKFXLK5x6DM+tTPU/gBO5HX9YUEyWvZNtRI
95zrsjrOvhedERiLs5EU5kpfFA0nOp2q9uLGr46hLm2KDaST3uCPLTFsS0CrSvuQJFTtpxr+zEVO
90vap9FGfvSVHXUWKESHqCU/HUogXBy8Xer7tFxdC5SP3ToXVPNg2b2z3fir3ndJ4MEt3KdzsTzi
zdYir7eNW5yRk4/RePd6k99VyzreCR2fYt3O/tbjPUmlvt6J3DtB8qZbxgYR6tyQdFB35gu5iO81
M4cytHfhbh9Jg2Xb6McLoy7JrxyjhdqOdPRN4aZpe5X+BIdD1y+7rYvR582hLboHfCDnaqG1wUvJ
eGGO0KOmYcSdRGfuzWHaC3wodI7nZ9eAq+fm+kkv3FfLSc2dmW0fizN+i8fka10XXD+1+TgOV2J8
r9hIB1KBVfJF08TkQ+k8Yu2jU8J0LoQTP7t0TnSeV+8LHpDE1Gj/jmMAOVqlGxcpm0ck7dXXUKh8
eKfAI0Fh6HdFXJNC3rQHnNsUSRTlsvFYyGNeLk+Ddofel0ar6/bHjiv4y9phMC2wY5rxDKHQFAgL
s1RIJygy76rOyzrMwJHc8dgiorrUpuKQV3cOdqCuepyHW+CCVlZfz+1in2dagt9edHrq1wWbWWww
GcQdOhM7q2lf59FVx2lKpyMn6+LogVfbS6+SEQXmyXnWRztih/WydhuiS+3dey6YTzRbg8BVP563
NLNPjel2aGRrcRrreI0sNvYvkp7PwO3EB3N8fi1ogPLjRL/ftgTfe18nF4qnTH+EJH41dBuI3LYs
e7Ne3CCfmJhw7d9IiQ54A+iSsVlROFWZEsMMwnfZotlTz0c7wbhqVHfo94kcXZ8qTTMU4AnvbWOw
D45av7rliGYvnA8nUbxjHGyv1YiVucvXI1w0TL7zdIdew9GiTx2ex94XT9eRjVzHJMQKVElrrIqj
ULdRMsU/T3eUP/LdSeyFIx+TfySpLWc7IPx6WfIorXV15Ox4BFSb+0qVoGzYI4Xc0Vc+eqsKVZHt
8xQK76rhgIbxuWccZutiLvn7VHgep2mpF1ce1zyJEOobwrPemRgp8Msil4EgU7zDQOsDaIl3t1Dw
mXJmfWez9z1gbLg1LDT5rhh6HcNPO5z62vzZbuN1pSgWd1j6WWzZncHdPQSoiMrU8THWBZ4RcMGh
odTM8hTUrl1nQ1C0rnae6VvIRCl21KddE9t5q12v33PGbv2l4fLHzxVVhk7xHjsPmgaYZ6x0jcYi
459yIdZm2fBjq5tHux6ua7PmYCQIESU3OwblwYB66QTUSvy5YJRFrFjZmL2vpwt3ZUuPDylxwnAr
GouDy3rCBxVTSU/tjT4O3CMto0O4nb5OTv41c6yjK9uHZaiXY4bcHzBGnrlFvzXxVNGNtISMW1zJ
BqkCaJgzNqhMv9uMUezdZWaVsvHglQMqRWM8rbl2pBwv3Ca78FsShx7DzlZ9aqXG6mRm+RyhDL9w
73wSa0K9VjINIU1YTF8u/NKOkXCAKbBtlFGxFQBqnGFsx2m5wwL/tRpq7xFlkg/StfboZil6srm9
snd/cDYPXOJNLjR7nbIOy8GI29FlxmFZC2zlEBcjGfxCfdwP12jv+g0l0bU/MNNEjfoYjHI/Du5P
OBUNo26GL8TYIE+VgDTyyjfyJg+2dvrZDF3hK634kraQ/VqJCa5vNLLPtAyrzWVfsuVeEgAjMXYp
uVQ0r/gLJfEP9D/TGN+Pnb2QYJXOPQ41Qf45hcC9JFCJ54nBfKK9mD/Ek7zBVAZ5pGnpW16qLkjh
Ps4tUPDSOBMSgR4JG3SElzFGbHKSE48sC/ii4bQ8odd2vOB96vayF8qD9iG7Y6ba+MHlrkbnR290
VsnxuE2pJONUPmCJtMs+Kl1UqIhQ1txhzEpZt6Hq8y0sW6oB8N57Rit2Fe+RBR6gw2u26pfRceXX
HmNmMVyw+/RsLf4QEf6nd/b/i5p6bgvvf7WM/8+m1L/VP/+GTjuWX//sO/7j7/+n7dj+zdM501PM
Y/M14f7/d9ux4/yGm4ekgA6TxyNG+Uu/hEtVD9t3l02560pQP/9lO3Z/A4tL+sZzbcsR/6bt+CYz
/EX+0oH14OND0sV6fHvlvwpQq1EBnV0X/VCQ5CiTnyrR7lmwH8kFBxXTLCDkU6/HoRePn41CIxfU
B7+8eQ//KO/+jtD/swJ3a9mwWbPxmoF+/UXqqy3bblwOFoeaQNnd6D5nDE+Qsm+UWxhx8Mp0uo9V
fG2aJN87QlYQPd/BWflbGlSNllz129xRuzxgi13jGHdtagM3tyYyjwB6GDh2evON9Sh/iH5DZhlu
EXkv2O/CcIE/S036a7/V+wxETa+Fq0VzF4BcSuQLYjT6VEER0AdoylrXm2agA1FfzeptdWHTcTUc
FmB3JWR8KRiomGl2Wb7BMuUFME0hsmskcFibmIPJKrW4YPZ7pPaipRwH0WcnSH492t67YWphnzgf
W8/vQBRj59mU4RGvKFsPT0eKbYWAFDeWbiyeFi1+yVv64Apm3WlovgDL0feZGh+S3qHbvfq6JaNP
mtZv7VntbYoWeRwNN19B9a1cmJqKHOfjqs/fqhtu1R77C9YYi8xU4zd2zw/b6EYz75MyT/zfP/H/
6VvGP21K/t9aASZMW6Bz/3OZ7w74Sfq34KP4q9L3x1/8j1uKZ/8G5AsOKFhEhDtcA3+/pRi6BOZl
o/UJCyoPkt+vSh8hBkozJMFwvvO/EMCk9dtNkSPpo0OvECTG/x2lTzr8/F/uKZI7Gs4J7nZkwy1X
/t628+s9RVIdCanEEZdNt2Sy7bP+BrwIaqFDsO6v2nCDX5ccEqEvUBW7Q6Dc3jWhGMZEZhz6qdEu
MSmMcG21MkpW7IVOvVEIkFSHtDPHk9vOeKGVZ5/rsdKe24rwT0133XnIXGPXyNJ+nsDqveYuEdfd
yN54bzRtvSv7HLJz36/45TYjEmSIKtZSMd7dFkIfvzebWSs50IN8tc2yOwmPGG7axo/z1t5DdA4c
3kd2HY1xaHvUARc4qO9Q7WHIOIhxJQVp0n4fLYrQxrzpMaJ3ud+Z1XqNu4Qo+KAHy6RTUMPCrFV8
zeM8N6JV37Y9uMQEtUHstcqqPnnrlId9U2QBAmeolu6eyl0ZakkxfAAlNSPl0OtIIWUHyMbm55cG
MsJKRmKoXO+wklh4Qsiog5Im1ENTCI9m+TXezeyGDqQu7ruVYGbLVjHEem3syBZCU9YbuCLcrIMk
06wbK30hhaL6U5E519QAHWWY5ZOnl3M4EKr3yvHQyBl8hxJQqL26ww+U6Jx49b3Gdsvn0PxmDdPq
T8PtRTTFEAyjGUP6gEfRWZodKnf8WvZewJa+PDW4/840gqzIn0v4u9kYnlOE5lNRBWxzi7duOqFl
Hzwkg2El8+4Wgg3zFmtvq5nVO1MfrbCvqWc0R87wQrKw0ib60ETNEpFtHyBXw52AvMxELhfDIkWu
rUG/6DKA847fz032y2iT4SCPFHpG/gURQ55b5h/SM2w9LDo2xx5TlKmSfWqODhYywARKaWGRty91
b7+5y0YBNw+BZLJlpEEpDw19S0HqlB+blX/J24EaU2wXZDXnipUkLQ6t8H7ITcuDAUk14Jp4oax5
Z89cEm6XPBLSrqMxIXEm0Ifpkx3QY2m4lb3Sd8ZgHVuRG19WuYGy6/rzohVfQdMsFAG4+PUy2qGs
Ck7aRmUqOE+uBVCwLdipRh7SjQo1yQnARwtsg8LoPmv9UCJ+LTEB3Z5Tcb22e8PlE6xNT0Z2XnYR
OtFrJ+zkWulpGZnu18Tr9dOS4MImLKC9KDyDvQ92i8yOyrKnkqZ1v+ptfQe6bd3DOeheYNm6geF4
xdPGITXo++1KQ72KXOK/oYhTO9qKkegGNIuQRr5kRxuvTrK+Q+YAMhqSy05vuqfg9G3mu9rJ7aMB
aAjl350OAkftYE3iDA1tDDRasV6hfvEuUnERCJk7vo2xjLXr717eGzPFyvVXnAX6btCoH7ylGmiD
bxzfGzd6Wraiei6QBB5iyGcnY7g9Kj3bhk81awUU8Qb9cRmQ7pnGi9BcqdzlVx0vjlaZ/EHtQk+S
2jOW3mmy+JpNqIKAHlhVtPBJR3fSAmfj/Wy23jo4lOgRdtZ/Yq5yg2WurdMNcLzL7eGZ6ec4VpMN
GRwCg+ysG4KpDWdiYMzkbA63WdmBlMi9ovW+jYN6otbiITbGB0Xz9k7PMwMGmfajlNsaqW47d4ND
uow/3zvVfrZXgrAEmpFBtY71JKntNYYcj3PB3YFw+GjrhO2Puz33tVgOzoQrSBWOtgPiPvhAR9ZQ
ZHCUuqrlkkrs7kpPYzSW4sNrTc5DWW4infTWcyzSBDA8iQtWHnhH8v0i2x9TT/LN2YgfW11u7nVl
GKfYVfgolZjCYsW7tg5FE8xe6R5SFiW1El9su79QD43AbC1v7gweB3PA4KvVtI9oLtWL501g17s5
wCb6w06BAE7xjciUKAJJ49mRQ3fXuOKU1extrbpWV+Vgd9a7B5XGVRCbOGfjtv3ZofkGFDMQn9/G
ei8lqGHc4lQhYxG4rKxIEeE76gaosD6oHB3aTCkUcb2XVa4HLJ/GebPzMZrE2ka0Z1JG4/ITq217
aSeZPSBtst/nIcTpbqGfAy5kYSQq6shR7PTSomQKA6I9tBlksP6YdC3urMmks3VgKwEcCLt+2drv
qlg+z/E4HpyV7eQoWLUlKo1GjBH7paLJGk3K8rHKeveDmh70xGG9jxmPXxwhs+1jf7AESgyQE9av
IZvlaGkzIok2G0Qj1T4hPNKvoC3fzYxFq4mb/+hOW8e9JuuAHscg9xbMAizH532icZeDUAEAqnNL
TsTChKlmWlGCcsXCAZgS+ARjnzj5p3nKrOOmuS/r0J/7ArmP4/1PU2uck6pUjKVcEcxqIE5ZteOG
Bjmhk9uQhquRKJjmofST8KgD1pZAmb/SwFENrzIbCP5xzWqtV4HF0zLZ+ITY3Xp+G+KpRCDMW7vP
6Qvi6itdpIvOQ4V2UvD4fMnYUFq9eWhJX0+G7zQULr2a41yZLE1WkkIwXay+5u5d/D/2zmQ5biTb
tr/y7M5R5gAcgGNwJ9EzgsFGpEiKExjFJNH3cHRf/xaUeetKVD5lVr1pTbIqzZRCoHMcP2fvtZmR
gH4Csm0Fzidb5ngNvpRMI+fi2Nh96/nrpFSgfAjqymJSARhMgCNs/hNH9/a3OEtUk2jO/t/l9fml
bV9eI92+dV37A2zp9//yj/ra9f/hg99nb+44WLpIfvtnfe3ZS/Cc7TiWclCnOlTK/1TSWf/g1tkE
xnlsqBeH8T+37NL8pr9D0kpG4e8b/X9BSfdRnaw4AuClRcjHwYS/7Oi/Uyf79uQaaWVUBEJk71EZ
+ntDMdmKlRh+b+2wfQrfiFXNprAsvhde/9mRMOvh51iq+Z/q+IzvgJyZjByURWJdLirSE8uRHi6h
Q9/dh795JI5BBKdk/y7V8ku+O6ewM4IZ3311wEeoYeGK67YH1+jW88O/fCBFWDHIKg7HUJ1b+/2B
eoRa1KlzRYWcvqdZ+g7Z/j3hf/+dwyybH5yB9H8+3KPOjSBKOWN1IPvI34KBBEMTuVRuY/xvXDqe
VV8qz3dw9iwpD9+fUQgZSJYRZ9TDjLoECU49XlrqsimSvzip5W/6vk/Dg6dciyBk7hMC048Gda/P
yUBnYTzwAQXSpadPUzg+gM17qPpe/UVX6KMs+9vB6Aot3noCBD4Kow3TKXk3S1QT0Po3XovAL1Hg
BksjfhGKYjaWDdTbibjRf/3WuShiAQl60nU/3jq+HtrCJFodqjou73RT24CejPTBSPh/vz7U8rD9
dEHp4bEqeELwVv9462adoHsq8+pgaDyvua6mbWKJ4O7XR/mTt/hbp/B/jrKIwL97txT0ot7Q+AIJ
FXBOVjM+AAIpjt+SWv//jvThqWfcGmHl4khkgE00/5OXGcrs+m+8XuLnk1o6qgSrABKQFpylH08K
Ppqjciz5h6q3yk0leibPQHXHm3mBPfuBIHIRawhyC8c5CIgy6Ohs0qMYFh97tpAu22Fv3JJRSTZt
WQyvXhRjzIX7z8hQmDvtpe8TfYkLXO39ufJapAPU5i5MoLJecFzs2iMCs0Q6WOxzbIr2sc5vp8a3
HrHllRcOuYfPPYrLzYCcGMYzWbflVPh7XH5q2V254bqdNHjadNkH9XUoLwg5LLY6zYiMsrziDlSY
POIeG15rmEx7RoD8dtfkKIksT4Nq+wRBsYrK7SQz8ZWdFdb1lt9j0LZ4yQNOOqUzuCuxfGCgmssN
AFt41ozZQGCaGlcY+1wYtG7QVLtaBOMWN5DaGA0zk1xwduCwUV0kHhyDrrBIVGFxieBwbNn44FdG
iblskUp2o3RBj0hAmAQ2M1gBmqUbtXi6lZ8bNEiE9RhGvXMaQ7bUIWGoD+7A2BDvHMZ1N7ceA86d
imswgeHmEhO5C6EC9qWHcmhtE9xg/2G1N2STPbSDck7KaPNbw4i754BLc4qSurp2dfIuTO6pTlzr
MVfx+9gOwV3nzuUFs19+PSTGhe6HWb1BB7RA3Pwsuklid/yUjHDDWdE7gJl5vO/DjAaP4+IUzMC9
HuPQVvYKxUF8FdqoBRI3LN7R2ZlXZplwEXXmwCk2BsQw3x77DBnQcRYBDnuXSwbfhtOEgbqe2W7T
063CezVbOOVDL06f/XnkE1sPJRuKKMkZO5JXuGZKBNU4LjDqgDTDdYiYJOifoqCCKmGZCKrWaOuA
FbiiaBgqxfOjon90PxJc8Y5yqkQnEDIt61g5QY7UB5ngQSotgBN2UfL8OEyr4jUC8D5FfBD1bJDH
3L9sRppbvs/skkTbEQfnaMFHXtF+MpYxvP/Q1lTZBKjNxpoaH8LF5CsAhVVPuCH4iuihAyfV72EF
Ji/+QHQsIuj+TFwt+/jY77N9C4Dk00A+1tPM3nrvVOxUd4PRWEyyKhue0ZwAbl01pKoTCYLm8uvs
E0Rtzbxb0ggmc5MNTvu5B4r2BeO7w8wYx0w+lvzYRkOBdwVd/Y0ckBKaKXfCicL0uQ6t4jgGYbFF
d2PRLEneUXH5jMZc+8gPgWQb5tPGAO88sJVyo6sQp+FWh5kP+ZE7pG0+fdpmVYtUozZO5Ad3SU9D
fhNVY/RWYBM+IAvtV5NL+uylNPVT1U79Hsg5Ul1f8yDMgyqOg4zf2yAmPp4Mm3VrZuiJw7dOo3qI
WlIna+vQlf1XHU3xMYcahuypcqE5Ke820ryUzG7xqQM2O/dd429pC5KaqTpG+ICbH5VZzSfhj7t8
hpaL9rvq4G6lbIKw58fMITIealbF8SZaZM+FTuBOUlTuaoO3PtXZtOn7iiS/Fpz23LC65QMqFJC3
+bqSnLeVJy9xa6hrhZnhJRvbBVANeITegHlPkJ99HDVPVMqCymCClpXIkE/0BafvtAQikPpYs/cs
9PDaGg1j/HCZ00YyVbem29R0IrMXx2GhbBrWD+jtHrKhEXERgPQNXn+8YI6t1S3Q/+bSHAhUXX2r
tLTf1PsMhzrxKwmLmKXLDeQ6VC4lFra4VQjCMM+9Rk5xARelWC19K55gwsabOLu2q67cRYOtuAmE
FLT1UleTnnfK8EexkqNRile5KdGAcXXigAZS7mpz+23VHaL4S5cq820R0oGPXnySYjaRy3QkFjgQ
5nvw5KxxVBIrw+icqyR0dq1MAGCXjbV2EIDvawb96x6N0ed45ArNHu2HUXh0Vo0WoQZ3GA0BDmh6
uG5xTxoM0dJYZY/BrHO8sKw9RsjqMWAFKdI+55r7pd7ZCTbqEN8usG9LfPVN3Z16w6EeLfW1Stvs
QGsOtil4mX3uhyC0m/jaju3+iayAFqF01J0D3DaxsIdHlU5qoyZo6fQbncPsx/MWM21+XZF8cZOl
SL4he8d29F6GUFNlF3/mfX5oehEeLLJKt1GY1+tO2NW1nJiA81mk6epCb3SYsFkeH73U52toxFH2
UOM3OzYFK47IlXkfCyimSLAGdADfFllXkhsxcw927L2GBSq2QOMk8twJUfIhBwbV7IvIX1lmVJG6
3RJWSoB1xmKWsMkjmhBhV742QwH0C4a2D1efLX+RNnmDRrQmLIAGRYzkNISWgEZ4qNFN59bnNrfy
I1Sw/Ai1mZFZqXR9tLNWb7SZT1a2Ceqx9NzTNFgjmZyDyBrWv5ycoU+1NcQDQ8QkMvYy7vPoCLTP
7vHU50GvjrLHnr5aYC0IiqjFG43z0G+893YiWhQRYZq/VZCkV4SokqahvMpck0gB4MWuHbGt25F1
fVLgAxD+Nl13QwB2iEdcah85hAqTbQciF8O4rU14aQg5nlUq0g69T3Y3JPZIILYJ7nUpriUoOzTg
xyJL0k1cia9S6QOh30jEJhAF0NajneXyfrFw9LcMOY2zaRdLHxu7OSpSEi14Ty2YvQlDF50pmN21
7raY2l8ww6dbj4jvrSVQtpdebT7BSx+vNN9o4gfCBiGptLSxxt01X/G6hq9h5pl6lZrwtDNvpJ2S
GcZFPAImpl+Zs74hlGDRD6lO2C2B50Vunjm0/SL8QRog0FpNTv8XfuGfZujM2QR7fwGMywaCIz9U
2OiFkWu1IjvUfEA36Fb7cxdqgVCvoU7oKC2vJnuxFVgzdUXqN/C0Gss5dXaOyNv0/2qjtmTS/7Cv
WH4PHQITV9+y2f2wyfVAvPAO8HvQuRNpN52alDUVN8dLkelPwcRn7teF/087Q18garM4EvwZ3/+I
gW5l7+ThUGWHvqYIKwKAFN8MrEURlSe0xOVfeHbNn8r/5YCeA1MTKYQNg+3H8r9oKHCkm2YsKDXK
QlaJEtVGgfo3afKXzigBoLRo0lxHDTffPjsgT0ykn6gFd5GZGesgxe1bznW/H1u+67++Hvaf/T4H
B6TjYhOjk/Rhe1KNMbYGqdNDlOfyqPs2fy/tReU3dEMr8lUoKbazDKzUKkrM7opsNzazUPevK5NC
O+YkKGWKo0LSupksdp4tvNCclrZ2TtKK/UsilprL1IVY1PWEWJBHHziHMGBVtmnVllsQPcGdLYV8
YZIFGMrnH3uSYrzbKTD5AAfTmD2IOE6ev30Vi0L4aj3MqRX9xbUwl3vx4WlEXeKC0HNdx0cL/uO9
Qg8BasRo00PnQnpyDBQPHREVa/BvT9g1iAqnbETTGlk7+q4OOrPu+Ovb8dM+G2c1oYEOD80ygl86
c9/vgLvJHYheNmMcGFO8d4ywPDG3/Ktl4KeOBUehUWHB75OW53285zrWPTSOMj64kuL5G+urqBhD
MNtjn+EubKcpYfOADbZ/+vUJWj9fY0oUxADKhAhny4/bYfipsm+yITqQcBQGh0yW/qURBP5zrimN
W1CU07VvOP6SlfuQEkf8jgyUKe7UOxCKyoLAYNZb+KOQWaFKhV1FOSkhEFB/+5dJWbS/QYsKugsj
aNm4fvv1/5GD/KXrG4XGdzd689K9/J/fO91XL/nbf//XuSy6lx+T4DDqL//NH53qb3IPHmkUt0sD
ic/PPzvVrDkoQfgQ2O6yVNIj+d9ONWECfKuEwPCPCcNd3sg/mJZS/oPlwOHbgUSELgifsn+hU42M
7Md3X6BSQde1SLtInqNh8+FLVKHDtQII5dceenYTaWaO3HmILGft1G46HTxQgQXC2jBiWxLb1Tm0
WJsz0uF/awPchiu+6gyilIjq8SKaazS1Zeu5r3Nj4bUtYoV2K6+myxIVffYYz7K+LNtZ/JbY4ejT
4khJcUJH400L2btn7mRQWeNH9fBN137fHzG+NMO5qdxiG3WEhoJVXHTNk5ueK5qua9hK3Qpl86XQ
UwWXsFIhctNitjZoQZ97bTVbC4X2hexHQUx5QvkPOgSxJywaufNVQDJmMBRIiCWz4jNMteFCZ9o7
GI1uLvoyB0zTxMV429cGASraQiXjPw7FaO8jA7wlkrxy+VU4wR5HB5kLhh5catN4GfmkzR8WOxbg
zCHl5QRkkyXYSTy7ccBpkRSNIB9S3XoGU8UMmzvPVSaCmzwBK3aO7Dzam7YaEvc0MNR45YpMp5QK
OWjuZxetRNfIFvyW14TE4Cx0MFZNd6z2jaqibGuNFonWiSRtjcSabCJxothhJswZkg0yYih/SOIR
fuKIZZPGgHeasSLg7FmbINlReAxRSv4Nn6awGa3+wswxVvanbAA64nY4MhBVQvVShudVm4pC/kvP
kOIT6p3xBhsMw0dQ9VXy7uOIep8IyxnsK6tondy849tn7qAYe2ALK/IfniqAY4g6cr+/HMI0PbpY
87hQDSmY+D90chHjEbC3TZbeQotvtiJmtx5E6XDdTlgDl+8kjyUmic0EBoMGG2NpdArlNoRPt5vj
OAVkGF1Dbhw/da6WjIXRWTAqbkjZzOouPCoFax59DFd7bSUqOMBWQ12d2ZNzkY+iIXtnbl9Kq8pe
ra4mkM5PW5dWRo1KuVOMwJnxJuwri9Y3j62NnQ6tTbaEZiXmQRb6OUpk362JNXJuCI7FPVTKKnwO
GylO9EfyHV1IY9/bxPF5HO6cuXa1N2dzvC0ghi6eGFDp0gw8mlCKlktqifS0+FGpoa0WV0nqFhf9
IMgWYA+KGwdJz6WrkvkIWhxNeCKmTarBLQPa3CmBwVJn4ZUbEbex0dK9FJ7XPhGnFDwDuvZ3ZU45
gr1BbtM6LY7a9KrPSTtfEb/m3C5P9nVgtmKDdJZmY22eZ4h/RJ3Tx1B25ewUY2dCj+1KvJcmea2l
k4ZPYRWjZqjlcFlCLTy0GeLtKXbDfZL06T6I6eFi8aSHRCdkD+fUvwslMicQv+Qpp97DbInrwkYh
BtbNvYT751xicyVKImmHR6cuiUxO0nHAhmpbX3Jnwnatp7kMV0Mm7E9I/zRQxtZ+N+jJ5uuOq7FL
Z2L76Gy9wn/x4TcEtDQMPaHnTJml31X2MEY4HPvyVaopvMfEFooVPQ3nK66seF+AHeDvqIyLjLE5
fdCKWpcoI7aTGDZTOs5rAv4g1vXJSIJhqA4jqbaIvAp8OZoG/K5zQoRhnu7ik+lH+r4jHGWdcX3u
AYvBPUswM1rTpT/QO3ZSVAuGR9LjStm1d1TA2nwKx4zwLXKNb/xMxUyZyuI3Ulv8TSbAFrIXpu7b
TiW6mUmYF4GbfOryBrkUG9pNytN9Zxr06aH7TRb1lx2shw5PgCB8A5owpACwY7RHMkhu5OvZz2WG
vCSPNGCQwZQJzQ/X+UIVj0aMptankkiYtfSa4RFzWEETKCkX+lfarnpvfDVGoMG9ZXfvIYYjssHr
eVtmUYu0xLKfLIz517NJxko/qpl0YafcmRlsEKtpqhP9I3HnmTQj1zQ303pXlm2ImKwWL6rSzUYS
SPWJQpZu9zREoDwSbayk2YXvuE7EoegL74sN5t7YzDxaW4QA9AgpsMiLDKNhU5Ss/GrAKuep3j1b
xBiueSPtnQxN63NY+9VJDU50LP2muqlNjCcdwmOurB9NADCxNzu4tROqySDatGLKahwM+PCCETCf
afbWxdwQ9rSWVv2W57jpzbH0V7ZjlWfs7cnasOvmci7K4TbzDDQ3qX+uQSLEKzAAEYHMzJTPoATr
Df6b5JmYQOueYObq7FUKTMRgIkcz3Mj/JP0RO5bqxotyDGJJGI9ETRPF4pps4vQxZzzyGKqiucGW
FDxUaRCf9FgjqxzU/Nls5ITAsCQFEZvCNpi6eiUQmUUbydmWiDIs0V2Q+tzDAPD0ZykF8WmxbIuN
QQTo2nVkuSU0RNzUrYfdxiO041gQtEh7Mx2mk0MgzhJXaFpbVUqb69gNT3JEcOH0ABAw/EMDwcM/
H83YdF/ZzwpjXQZFfBN20YBrQ/iP00wuqJAzH3pVkFazasM23rmQ8i69uKruCYID22EApUVSEpC+
sVGAI8Gswv8korz4T3H8t8Qcpk+H4pfF8UtcvH0v4vjjv/gfEQe+C5vnAeGC4yooRpSew1vb/fd/
kXr7D6EoiX0HiYf5Q3KWB+0dPhGz9D+U0P9bGdv/QDOAtIPpHxpqCxfDv1AZ/9Qf8PBWU4IjhWZr
yjD9xx3p5NugjiZiMzCtTf7Wmc58fb+7Gje/b7B/Kd5gM+iCszcZkQpMYx8OEQyawHGI3azYNtYj
GsNTgV6ZS/pPAc2/cZTlRL8bLjeBP44MQeaDVzy3xnM5vnXO72/A31ehfDiRD70UEDeSURWH0POt
J24nzIzz11+fBVr3n1pYSCcw2mCo4cmg/PxwuVqyU5IQR/fBMYrmlc4tNvBYDBYdSg7t0C4CAQFf
R2TY2TGxkYDS2uMWoxdyyrEf9nHVNA9WBP95Hc9tskFWeWs5ee9sop6iwYeJvEP0KzZ2h6WaVKng
jomgJu051wmMJlz3XuIlp9btvbUqq+dc0c3CRbvNSrM/aOzWjl9HYsXE0d2kfKfPUC/Zq9Qko7ox
PUW3oZCNROadcIi7X4zcK7C5OVN0FrXhnrIwm9YzLJZtZDg9QLdF3p1Sx21mnepL7ePZJqwrY5IV
AUjx6lfXyr1jEOf2FukcxGNvzvfSai9lanWfx2KSt4gMzb2hvQxtcJNcIMcDDq5NuWtTVa88HH9n
JdDqUugharTG/pPtdfwlqeou8eJNqLwpP1aQO8xzENi8D/jz1iHhqbdB0g+vAGKn255Odbt2A1r7
Xp9wvHh+GwgceSIUrUk2uZ/Nn+nwIFsfZvOtacBIr51Wdu9GLSmvxiTrHnwLjt9udDt52/eCv2i5
wI40z+XkANHNO/KAISG4m7yCP5y5gd3x3QlzYMBsMtb8vpSOcuch700MBjfyrWNrtBqmbsF+jZ/l
bL35SMi/jBYdFamN+IntZHIhpppL0kS1uQdu+jaTYOvzLaznQ0Ju0SrJKm6CE8wdfVr+vnzkdyS4
9Y45pMeH2MDWCQ7AO+VKR+cllIF42cbc63aIbofMSi7CAhY1NUMD61WJPSkICA3Y2Ydrn7RdBA6T
YOKcqfDoTNI60ATlANbs4v9Muj1qx5SotKS/S8tZ33VkY67nxudjD+YICFo4lSuRBekRURVbbQNP
Ro+J61r5XE7EAzCW86ayNnQTvKuOnVtykVhujmezZrZJI5IAcWAX5icJtuF2CmNxlwAtGVfIJJ1r
zKbJPmILtTdlE3zFB2z7PCVGcGUNPqbYNPI8TY0FCTUJAnk9RY21wZjqrim55HGqmvqyZrkH2z33
F65fuTeBYRv7torsG8jw4eUgnQcyUIEceBHzs9HpxUFHtWsBvcILpeFljGvcHsHXblwStaqh7FY2
Ybf7corUu0xS9W6EaIxaxm+nxjP9rxFdxm2oa4k/i/b0FrU8VIzSX65HIFJ3Y84jLLaWK9n2Y8a0
qxIHdrzTgURe6zILQ3kvRnwXwaTMnoM55l55xYLwlsOTsoL+GXFudCvyWhz6GFfMBptvvIbs1jM3
laZ6NdO2O9a5zq+0PQ4vjW0XuMBD/3o0Z/s+87uJwIyWTLixNp3TwDTgxiaqeBdWjULq0BQv5CYO
t9SL480IqetqbGsX8ro3nekBOKe0sou9WTv9mnAu966aGIh28zQf6LWrnqmmxQFqc1m8MivobhtC
MVDfigAKLVRSZxMrlPZ9MAgSeNwuX0VZGd3VTZ+Qh+22B7NnEUqNvN3zaDgbKNPOrkLave/KIcw3
bQXGma+K3GohaxoC0MCXHIbofmZCFuKroDHCSxMBx/LJ/0MrMx/5tSFi7nI+TulUUwlaJKA6TNjX
iVuIBJJz4l8oKoZdmSQukO7Qv3Bav9x17ghnSIQGVNOUQV/h2jwThPxCAiNgayumprkwGgF2BjjD
tAuiwNh6jDjo/AhwJX3QcR3GcmZ+V5A4ALiTIPm6I26SbdZtVkq1j9gdrztWgecYBvC27D3v0FlJ
/+aJYt7BXUCXVZio7/EIsPkykuqlBRH7tfMKxmaZHwfvra+zh4lRxbVvCvg8yx+3CteB0oJ9eBrp
kwFi8cD8z8lIRvQEWkyl5bTlGZ65up2C5gkmb/XtkPFcpXLlMrhZw9b1F35Qt2RYdu2jB95j0zsR
fxSFnQGawZ3OBc7LNfHo1idZjMGXREblQx/nxIX5utjDUAq28YwzCqtmvl7GqGsxatospX7B4tpd
KA+j1CrUibNRQUpo1rBkKrEJuPI7gGWrInKMbYPt80wUe382SQ3xV5NZjge4cGSKqcrEwg4TBwSp
6vNj0pqoAQjy6DRMr3kGZLig0MTozgefUv3OHFvx1LX9fMvugVtXoQXCmqIKUibcJZ+j0hyWGLTg
OM4KRFwDP4wRpHFfxVBYV8bIrVf2TOgV7TRadnb0m2/yp4lDcO/yxnVOgcm0PMRNtgEG1C9vv6H2
VKOQkSr0ggMAoH1R1O6dX7vGljk0qWFdV+xRlKC4WT52tHKI1Ui88WZw2ZTZZu+vS7+1V4ACxxu7
meSLmdfZtqh4wN1ApkeogmTHCNltcymKt4Rv+IXVivYe58D8wIMU3iCWCK+7RPt3BSjuNQNyaGVN
VexVY7tPHQUpSJDYCi6zoQjBFudo0qzAGG860lTA/or+rS8C43OOxGE9dx0bdWW4f9yntBuD90nw
Y0daWTuBbv8KKLRxHwYpi4ydTkeMGnprOGP8pdDIQnz07zssOM6jrSf52DeGfEycarriS+Xu8Lgb
mymOjY1B9M3BC4B6zRhPPpVRXmzJIM63Rkrmz7er3jmYH8pWEYGWip0o4Hwz9U5OTsO4uC7Jliv0
PKCZMsWOUARxgg1RbAufFkw+dfa2qiEkjY2QvMSePx21NWXXgSLgx8wjYu6/PcszvqpbQgdArbFD
Oc0qHq+8tgi2AP1p/UqmbSvi9NJrUSf5hTuN7pMfBP2eIBnpYG/hYyhmye2f6/mcYgs4m3Xrr8PB
t/O1gADPEmianyIj/tqk03jFooA9rQqKa7Iv500MizyEeF9ND2IsHZwC85DAWpoIRjVT/zLzoU1o
dDXXNnK/nbat9Ch17pzAXUItR1wCvKgar8Ey8ukGftLtvbo0UM/NuZduSGkNQHWZxEvybeovEB2h
7A5kW51xsBSk8npFea9pOe9QC2DQjAuvPZnS6q7rkKz0Rrs9IMZsPk9I9Y518A0OgQR4RRfPuG+F
wARIB5iKWdoEE/UsGyJEvLvqHBwjIGRgo6meeSaAxWLfMSV+EJrHKa9mymo/Nr+KUE5nmdct2q1B
fEVXZukV81QbOUELSarlxYwZOB4RzM23DdD5ozvQVlDd1FyoyaJ1YE99hW7Rd9FUIKNjpaMtN98K
QIfRyrCzcloH/Ms9BLoQaFQQ9ZcaseUaNZG8SWws8SsmwwFU5ETu0bzMuOEDdz+gZ1zO6NqLoKPM
vhNdmXNs4XOL8zvCY5ttqRL0XRW6js4pAavaJEkQTbXQOq2ivrN7e8qQYBknUolukPsSWCxr4lsT
403VnUdELqkhGjBZlkyg2qc+pctWsnI6YdvslGoG2llYRIMg7vGKBt1J4lXRdJjxyFEhRsdqdmg9
RtONVcXlmhZy/uoVxms7O9dEdmG3GYd8qdvqCxV5Fk6r+H5APb5uFEA5ViswG0aPjYs2cYienC60
esLB1uAkt4FoxCS+0+8Iw1VqN91GqM64KByiIjKv4nyLCpIeXlIMlKoqzmOFZ7/A5pX2KO7cOCsx
09i93s9zEj2HunegDpg4eiY99lt6cuVdJV1Qhlkoaoi/VoSq061uiiKtntAeLmiVCYAjASuvFUEe
S7tOjptMVemF7qf5yGA83UuAmQcjIjt2U4a1vJGqmW+S0G3uqjBOt32uvWk9jmiU3Nl1tyMwWoLi
o2hPfGSyg3bIllxk8TGE1AGoqQM+1sw57VPDPsyoBvxmM5QhmMqdgvCRntriK+W9+YUeqTqbvkbP
h7ijZKKT0O2DFj/cBDMSiG6KFhFh1O4IHuJVJBmCiF/fAN/SNNzFzRg4X2UkwU710TzRjO+S28JB
kabp/31xG+orpiKRdYWhrPuSZpF3TLE9PQaTJ4JFA2E/iOULiUQYSgrxj4exKPQpYkp2jvK2eyw6
lHwYn4Zj5oT9aTCm9LUjrDuilcjNJUI8uOmxqf6Wtx6qOJeUqbZNSotXBAOWmVryEv86HXODDfZq
6gvYPCS84dPG0v3ZLjy0g4FjEisAgOmqNKa3tPfUk1V6i811VuswzOad02bJOunzaUWNN/MpjGj3
rjTqyo1LvOgpSbLkkFRk81TI5rm9fG2PE7uKTQmeFcCN2oTEWm/aOL83svhpRN2Kji9h5IUyBR8v
DsbUrB4ZRNgkwGQDMy/p1RoAnA+p1Xfz+zLNy8tuzqyLpgkopbaIPgNinyT4d20c7HYwSLiRlmu8
TV2mq9XQOBemdtVDZwD4Yd+p9uxiIA0bcfA5s42OyFQvu6FUTF5G0y4/J3VaP1W6Gr19ZTiTiViw
ZkjUl04ACCalpJFGV9wyUR2KdVvG43PauPj0dDNA0LT0Wzgo1Ka0dy5HXxUnm8r2tagExJzAazd0
a6/mErAUDkMj23cpxtuBW3WZ9hVjCjzJ3RXE+/CKpFdASHJJVIG0X5/B0QbrtkksaMTebx323ZXm
m+avtEcz3w66+eiXrb5JBU0GiWnwYWxasrMm4k5NAs9ucb2XXzHkPUumIs8kAt7N2mrlznNpWRvF
YGKln1nZK2PxeersDqHS0K2jCFieI7KlY+22O+TjYjf3i1qYJ/6AgUnuI+JEL63UnVhcGk1abO6z
N02s8Csw1JZwbVHS7zfCHTmC3j1bHb4noZ8/B7knNlXoP8pRDicBZGjP38KAdqy7OxnL38ijbq57
0IxfQ4jKuz4diPJs7Sk5+4jr932D+9HHl7dHoDM29Fe4KHbgPXp9JO9jtJm7RMe8sA0oKwC9ZMjA
a945BDd3dmTdsAd5YEFOr8dqdo81TsJVNxAtVJFm9lL65NZlzaAOgCKTKyBbM1MLg12M1VDdji2B
0hAyi0/F3IZUuMZtnufdRaem/DZgWn3jQS/fuKjZr5gJ2O9mSI5qmQzVttFxeAyKSF9DPI4uMyd1
7mSV+EW4Jv/I0F+SwlhGmO0+Z7nd9hVz47kbxW0QaPeARpvwsy4t91NvZ3cdK+6K6Wy1xSor9k2m
iQeeweKhbjraYTntu6F5Jj3QOyRwmNcDheCRhdQ45DYzVUo5D0lzHl61YZ1S/5bFuwb+DKGvq77a
dUKAhup0zRagjtKvpUgScTIrHTDzCJIN3ZKBh6217jVwZIBzAMZ8MsybEAgZhN5xZTcEte3qYpzZ
mkWNf1VMTXZf5H6xYhDn7yMQE8DT/PzetVqA8R1j/5lSpant5ihwUHgOuwYAc/maoopNUt2DdDHT
5CKPfXPLduJgQDQ88v47T17uPuQhtbEMyvBAVZhtaHe8tlasN6WYAhTwfF+nYcDk6r54bEHGZL5E
SQ+rLnPpnNEmMrQyX9EeDidZAld3a5tGSlo012FgHnpQ9O8RppEbRxjWbTv67/UojYeQV+8zZpcm
2mAorZc0T0z4LX5AiHxOuUfRrXFXg0NwuxDJFHj0v0jd+LkLSjgXwRvYyeDw/GSrcUdIDr0B/W6Q
9O96g2ZcXJU8k/We/Xj+F8LJn7rgajka1hCBQQmxyYeeqzc6I3USaVZTGeJvbvkHmTMI48Iq2/y6
w/tnh0L85fnKsdC8fJSAidataD+anFikwvsxkXwykt48iw6Z+q8P9ZP6krMyLc+y5RKf4Pkf+tVm
6jCdszlUAWjwMs269OCC52NSR4ugDkeiC3serl8f9M/OD4cmQhslHdhQHw7qxIFpYf9oD1PKVQR8
wVea1HlU8fzj14f6ke7yLTzX54VeCPggq5AP/djyT1n85wqt9wGGMMC+LCBH2ahVcoFkYFxltD9u
qsmkg5jN0VlnTMl/ffzlqfhBT8j1tWxEdmj6FlrNh6dmCmUV4WppDyo3aMAXnKBbD59/fZCfxHwc
BC0vwRdIadEmWD+e5Gjyueh8qzl0iDHoGURUEaFnB1eZJebDPFmQUXAdbAEGNLv/y96ZNMeNpNn2
rzzrPdIAOMZFb2KOIBkiKYqicgOjKAmTYx4cwK9/B8qsLjIYzbCsdbdZtZVlpYQA4PDh++499+NL
nxs/5NDYJopL5HxzF+x1S8W3LWAXpkDbo9JxjReGBNVkLgS7cLAqhOjswMaoDdYfX/bcp48elL05
bxa5JlKy15cVje8Ubsxl3SqR8GT6Lw5hU7vQYdQS5fufDFjBHENOErowQ5w8YNAFukFwK5drWvuh
Mqsth/9hXQVka318Y+8FqPO7RJiJ2BWCOS/07Z0RuvX3u3Sm2W/ye2yOQfdjaBmbWiONG0rK+tbx
Jv05CuZiEh3l/2DQCohtwPyECQru9KNxRTupUIfW44bWnd0VVPNDptiPb/XcLMArnNtXuNQRBr69
U2sIrM7KmHp+zwLQhmlF+OMAtyMpL0w4575CC5U5Hkiq8gRnv70Uwroci4ViQlWVXJmq+NPxij8/
vp1L1zi5ndhuTQizjBHDbG9QVWwtL7v7+BJnBwfjz+DlMDxQUb69D99PEGWYbb0r2bveoNo3DyZR
2cupV/FTpDHDVHmvfwrhN6xK6EZ7+DGXZrT3n57QdSLOPL4/fybxvf0NBGLiKCv8aheSxwwRv8Wd
aqTVtcQptE9LP199fNPvnyvXQ0eKgc+ek59Ovj2CN8C0lKLaZfnABsUZ79zIcC9sJd6PRUEPHUgB
pV3Sh36bJl51hv3QaIlilRXZPvgxmxLETlH21wTsxBeG4pkrcRMefg7HsN+Ln/0mjqdxJNaSqY08
SK25EqP7UNbJ48eP7cxrwlFhIqe1592RNU/cr+7IKbMUN45b7CaQTrV81jy8zWSOxlVwQbBuvl9j
Z/PGvy91Ml1Qo3KCDLfkrut9CvcQ+haZQre6GPy+W1d9Pn0hKDTbouQN6lVlUd3X6yr45nBkXbeT
2YIhh+ZjNpTRslpQAAf3kx5sLykPLeD+PWjb6SaQnAOtCkBRh8xyzbkKQaLZJu3B7eVwVEVHBXvs
4BZQZkO368TThRv9bY15u5izgtPXQ5BMqK59utjJOe7Gx72xg5fQfvWzXD8avXc/Ok78nE1zLomU
9E9l8K0e0nCDqYmayeDsHSdbx/D4l0ZF7IDZfckCDkZwF/DDZvel8m6mgMJSVkBZbFJFvTEGnB3A
FDIXoSKNvO5N96AlxC4PVmHt6G2THd16JoE7abKihOdepxZahiQFDIf0K1r5ITxwNxxWFtsVn6dl
apwbp0b/7qLwvbBonRlrmLQRcePI9tjyn4y1APwUu4+R55JozXVvEJLOWx92YVITx0xOi9p9PLjf
b3gEwD7LIj0MAKB/uuGpCotAijIrCM5oCS0HS7CucGJcO6Jst4EXttcRpdcHK/bDq4+vfObzZTeH
OcREi/P+zFGHY69FnZPvKHONT72jjD8r+j0P4A+Tnx9f6sxNIvBgNqLWwX9Ot470RTlvjh1U076m
K9IbNPHoBDUrLcnrvdOksbdsaLAT0kkW+D+fpthX4T8BNsND/u3heDV9uGkI5LrI810zu3QqlT+E
ANMQcBIa9vFtvn+i1jxJzZgYjlfo+N9OVNSAyHsmTxd3lPd1HHO1Mj2E8CSKi388TNluIJhCGMXp
Q3dOVs+yKYou7DvCDIyOnDOHwqtIPillO7BDnR///LaIWWF/Q+4gco6TZSsEBphbkuQEZDVip5Uj
2dtqpKfTkP7WXHiG7z9AS8e1wMJl2DS0T5evCm1I5HQZd6ZZD5HQvlaT9yMZxEOonAt7kPlbfjsH
cimOpQ63xpx/GjeaiSgecw0hhijlWlAr9QtbLlwJzX3Ke9jRRFN8/CTPX5GgZmRs80d3urxYpYsR
lytWRo/ZtnwuRoAAiF4XHZSaRdSZ1x9f8NyIZOMNcYddB1c8GZF2w7kDZGQK6aQ7oKjfYS76FDv6
hcu839gA9oFjaglITDzM+X9/9Yn1nj7EMX/1rtdM7UFzc2tfDqyIH9/M+1mEq+B3NJiZAaqemg+J
vRlyEI3prhZUtKj0LGXS/XJz5w60Iw11b1oKEjM/vqh5YqUBdsJVmTiAUmFkc04/tSCbWp9jX7rz
7ZEquITWsMzLdLoZfLr0kB1BF0PENxcEVqXREuI6uXGN7m7boQr3kj7yRrEtmka7uve7NIUxX7I5
mLcFFcEyV8jinC++qRys5Y194deffTEeKas4NODNnL4YJAmRpLMhd1Sn83Uy+slBG6hzfvyMzo4y
dJWUlDBEvdtyZlbFMhIWcpe3Lrbyot/pqfHguf/YTzi/Ct9hb8s85HCGfTvMbFeKvKxyJqIBYGqq
BdF+cPRh8/HdnJuBMGBRhoOARLHjZDDjqDCh02gp4qGGuCiXZWqw8U43jfzeJ9Y/30VzZkQmypJh
eWj2T+YEr42dHsFVytkx+DE/uzp27rI6+PrxXZ37eEgBdeCXzZ7M02E8NCno/oKPR8a2d5uO2LmN
wP5Bs6XY1KHtvShZJnuqhc2FpercnIciFn4Li+/7Qw+lUz0SVp/uwtCEPKE9T0m4KZPHkpRApusL
Vzs34Dn2mAx2TpbvimSSe3SdEtNrSW7uNoPkfqfMRFt9/DB/e0pPlw4eoov7CZsd8qW3I9HvzIE8
rSrdeZ3SH2Ok9RsNxfEiSEQv6c256ktieMWyK9r+U0VMOCErLtYyD03nNJYAb8OkXBlV0K2l8tBj
dF1y6XRrnH3yLidsvkwc0acbnzpodDCrGavNYNEmaKtno/ULCOokxMSu97XDoABWMaKJkZNDlaq+
2ZMt92eEogMfWnsoyS3aU0XyF85IopwfcR8fP8gz3xo9bbag7pyDzP7w7XOULr8hHthuE7P6o5yM
dqOXiCkDiX5lfP74Wmcex2zInPcVFGrZdb+9lolfSQfVwtY+MH7oFByI9dSf8ZnlO9fPkzWl8vbC
DuPMR4f7znDY0bBivSvrYw0ehzosuL3EforiUFvi/ADKAqxpIWCRfqlqVa1QY/S7f36vhkEVk4oU
G8TTmdKanWi1R5I6Z7UjIPqaqrS8oxofLqI0fBw90ng/vuK5N8mjpQwAfBwQ+cmb5FtRbWNVxU7T
CTccjR5VAiG3d6rys13mcJD++Hpn1hxukD2UYGFjs3jyBWYB2XFxwaMd+pDOhQVkVq+KaiVQxP4n
lwImKDzSnanznywIpQvINMs5ohl+kd/asiLtx4V8FXeGcWH6OjdGQVkyPC2mlXfl7x5JXI6ZlrNK
1j10UfHTtiuQ1Ly/OKzuSMj959Q9JjBMFybUBNonpx+gMdBrM5sp300mwUy6q+7xx65K6gAXTmFn
JmZK6jDMQU1a2Djm9/lqi1hOCgVYwBFQhvbXkIwmb6oeLgwJwd9xMiu/ucbJmPAhwSawgfmeE9cg
XCIuD43d2PdmhzkvkKrhKepqYauaXDigCF8KVbuIhejVdh7+PGV0qCGBJS0LQivWmjAMALqj3MWi
rQ+TZUV3ph8Oy3zsg29BqefbrEGcxemWONU+DPaR7dGk0OE72UaNVjehfX8/+Rliq9yATF1kTb3V
+yrwOUAN4adE6uwOi3gG32C9jAY32hp1M+6ljUSzF1F205M5ufNS/yEu0mbJE04JMqVuuogQCu4Q
J5LqqaZyDeHMRiycYsK0iCxUMbjjjx/vubHJKu4ajJPZWn4yfzpVU0F0YGwiE36uhvbZA5thCW0D
Y2uNi6/4Dz479txs9ijf0xA6uR4Q+7wS4ZjvCASZa05HkDV71eYXNq/vS34WtVIaW+xNKNOdciet
IY1EPQAoRkR+V5ZxjWbQe6nSLzShbxCkLDvbxM6bXzgyifPXpUrLE+Vwfboh88usykplUxMpxgmH
ro5LqLa0O4wuulyjmeGMU9lZsG7THtB9jkhQ63Im8grPto3K306Uthd6p22MFvBSgDCUAVdu6XfS
wfaT77bRc1AfkAKm7kQGXwuIJe7daRUawWcztZqlN9kVAV+JRR7sVIbrhN+zamX5E8+HcZt4ctqW
A8h+HF3882yyl1HTJmtXIzW1ErC8Ph5h5+Z0RzDGfNpwvJD5kb2aI2IdEzn0rHynt8/k2M1JgsSl
GCTWfXydc3PRq+ucboz6ss9k4ROy49lSX+bUG5YZMS8fX+TcggiShNMqrCgDn/Hbm9Ersywq0hF3
NJ285WgDJQdEWKSgyKJmvGA6O3sx6pWcWcAAvdv2OjWTUS75VrTIyTiJTtveKjcoQNFSt/GFx3du
IoBgQQVjtuy92/zKcRROgoqK8Lv6zmxcZ2kE41eIBz/bGM1C5Fx4ku+pQzPPl1MSB1gkBO/gwVNT
Sp4v+7RkkBEuLxMIwFSrvUktflUIDfxKWbXLofTFfawH0W4MMTWERUx4d+ilG7+wxi8uliDsGUFI
1uHHb/rcsOU9C8pI1G9pX79902oIGqII2Oaoqvwp/PAxMvvPUqAj+Q+uQyQDRhdEG+82B02vjVGJ
Hm/HSbSkmgPDZNTUqujqCwvpuW0rxSlEG/r8/37nzLz6DoWC3RWgvdy1eEaiBomryu9q0hDAbHyS
RfWQSf9CoeLcAH51ydMNazKRBF3YerbT1LANu+In9nfE7c6hLvoLZw5xbvxyIqVJxvaRs/BJGaFV
nlVOg5sxzZjjn/BPfymif5cEE3tLyrdgJkotXgKHyNdxNXsNNGNWZtaI/ohS/mpRVPkaVF6z60wc
C7ja8BlFbf05nHzoq7mUAPwbbzO4ynv0bGbNBVZrBFNaM6wI0KC0WZi/dOCcaxf+2lDqROF1IBzt
ct2y5Yu9Hic+uSrrDqDdZwBKNou9aV8YTeeegj87dSlxMG5PG7BSlk2T40/YTRBHphZOSatbX+3S
vqJm+rWNyVb9ePiee8WzMwuhjEux9fSxl4lBTg6boV0MRARdXAf8duL0uxJkqwSLZtakf3zF39qJ
kw0hihkidEw+F46ZJ2861MiYdTyZ7Zxs8peR6pzPVmT0yxw+whVpkPKxNDOSQi2Uk7/tAl7Uyses
m1pYfbBlNaVQrn/8o848dzYbswUa2D3HiZODku+MHrQ9IXczbHEd1aNzk0dsG8ekaL4Ce5l26CK/
f3xN40wRE1UCVZ951nbfnX3DwZ4IruSLbqYAKevMyEGQKjZNUM/R3g5xto6NctKWa6gwsFnoyeC8
sIzVxz/kPaDNs2ZfOHIMg2OOdVre15FGOFkbZ/iWE0FrZPY1xEJOd2irc/uKJ+Pu4a3YV1isCFaS
FJENLaOPGpP4fKuE0jcjzJmnCKzaEuqD/sS2ON9GiiGFYyolXci3t0jyf46IsZmy+7XlJBG8F81a
1Vre7iKncgno6dyVF17BIxafQSENn/hsMaGNfAhfI6/zD1J3v8EeSi8czM+sFSyZHh50d+7QnxaO
KLclsoE/CLgnHT5HyNIIsSMOPjYgOn78rM9dCuE1WgPc6CwbJxsQmk5Vlc3Lkl8QIFpW3uzmG8r0
4Ecy/Prxtd6jGHmvc/VXcHplGTw9/ueaI8E8xhwOejvwFi0NY8xek2Vsg7LoVzn8/yuj0IPbFnrR
0TS18M5siai2hCy3JYkvf20l/49tdoltRmQlL/p/UALv2Gb3UfHj5//bN/I5//Ga4kBxav6Df1Mc
QDUYJt03BiiT5195dv+mOMydBAQzSCzfQBzMP2YJ1CyyotxLuYsB+S+8GX+dZQNwILiDf/wPAA4I
FN4d8ufPh+ouAjafnpP5drdVEbBaZ2RnQ8xhUU3GqPhM3nAbr0OY5+vYtJ9U1vc3cAXiRdKVT9Qb
tL2u3COOEJkusylKV2VjZXd+n+VkM+mPdqCDAy1llWwKi/VoAmO9rw0IztaouZtkxHDgNe6xlGhW
EbPeJoOqn/GV3ThK3ghNbQMM3Ku2tv0lHwFRjn3nLfo6/tXpXXwkawnXt1sSiJfDsNc18nAH21SL
WJ+uCl+/dQysh36tnotBYUrHz0RqEeKLFlT1zH8l4XKctwpHVwxbFSO+KCGg+2l+o4z+PsDNQa2j
Iz86vYGLdGsl4xXJQuWyTrTFEMXPI3TlVVFNL3abHmRvzJSFpwpnWyEhRNdZJNjOWDsKhs5C6ZAt
iyaYFnRGj0YrntJePrvwlDlNqHu9Tm/mJ9Bm8OqtVP5KylxbNiCyNmImTQto14haEPb3qn/ArHPv
5YOzpJSOyF76LypIAerjPEDmfZV2MMUn5l1yohsejK6Tjx0fTNqgyyEdHpxovFel9RSJ9BAO8rmu
Esih9pH09dpZYLBcW9yQguiNaPTWkryrUbRED2BCI+yLgg081KGN8BabIEDJcocEG9WUgmyIi8gx
KCukc+691hdXLaDpdajNzzLKnjuD7Y8+YulvFa61+VolWPO1Vk23gERvW1Ntu2i6+k3m1nr9qnQL
iOxp9EtI/jXbiG/SdLgyeTk7D+vLIsHBhelsfJwCYOGydSSQMqGt0oYL9bGXrCJIode1nRwoBzzW
FuD4yB4eMh2fNkoCTqn4vhAwPOc92HdpDi9eMV31Zhgvk6iOj2nlPsWD/t2rxCdfxcYSPcdmNNvd
ZHc1HYD+YarsHSUxsgBrsQsz3pGmo6RK2x5jajddOVjv10rxPokhEQffZSQMGFEXlZmJRdnoj3lo
vPhCgW0Y6nzRgkEz3P6hqrsHa5C/MuT5S/hY8PCy4UEERoTlDjw60H+wTI4WLQ0jjpe/n7uR42z1
raeiypMNYMQjBjZ3085/jvtkmSIGTGGbjd163M3mjYVmDMfSxP+SBCwbbhKNLOewj8VMQZYDPG5C
GO3l6Lf9rprRyVVh9/smc7z90GvaJ+LvJOHwZfYpR8Gw0SPZH7KoapamJsVLC4x57GvM+F4K2xtb
eUykYw0YNln5WSVWbjqp58AtcJaFJWyALUr2/DHNg8ds0JxuNWH3BVFuxsshCo5Wnv5ZYyMkd0ay
13CQNYp4VeKUXM9oDGNV098kao7mwMErWgJ33Oooteg2LwAtoYJ9LDSDnIrOttd9Zz/D/Khf8hxD
JoxnNjMO2Z0uhtRy8p1NFoNdN8ciuCWRsAU3zvCfEvOlIMVl0VBkWkS9vnQG09gIF8I1vyJYsMXF
uhYY5GIim/1k6W63HUwG3Zi6T67mHDuzUvugr39pqkaqmF4QoL0/DNApRpdrzV00NqXz//7qiBkn
jtWhsy52ZKTgf+o4vgfecIyxStGecS7sud9vhXx2J+irELoBajg9B/iW6nJndPNdyKe+yo30YGIs
h0B30YTw/uhMZ4ntFhebqwGnpyrluoNI2PLszDZ99gNmw3k6TqCwLfHlNsWe/6Zf2Oi9ryRyzVnA
hWgGV+6pyCMUuR95TZDvxtaO4Pz3D8XAh60Ja6dm2Px8vwj+ruqG2e3V3uH2r6PUa9iReF9y59q0
5JHqU6h91/YBygj3YPTmhkUtVkmRebdj4ETzdHFFwHu6wzvzokCjb2gv9oekb/huQT6CZhlf5rTo
MJ+ukDKx6uKR9OfUkqSD8OCpK+UwfROMVC5Tgv+qIrnJnXqT2f39kIWPOqSElTNY5FZDLh0Kzum2
XZBJgSxraXlMDx/f6ZkhRGWSeF8DudD706spYz8riMDeRWazsQr9FmPlbTbB975wnXNP9HdT2SXG
iqF0ej5Uhjew72Ks+tLaN/QSRiO21nAwgFA6foIvKQVzThyN7MdbGPjZHSGDwPmm8FfVMy/PW5Uk
ZQMB6/Mq1KAv+qp70HznKOqeFjTTvV0SuhOGoNkq3DlPoW2O2yw0y/UQj3Dj9Lq5z9MBCyLLfmfG
1qGNvYw4wra4svL4VxAT2ZqnoLPrwSu2g5b8Corp0Qu7zdQS74E6YxeN9i6K8ngZZvjZRDlcEVYp
UYxOt+6IDx1ejgGnVfuztolXdY2LLPAzMwzNSFyOBkUsUplPzv6Tq1F+1QT1DQV9gO3EwMxmUz9b
aEpcONWxUT5pPPmCfDoko/TsZsfD29msNsfYlRblVzvt762G6JDi0oT5+wT1tpbBOZx2LpBpOjBA
fd9eI46qtJW6nu8Kvy83TYwV3gqml3mmJ9URo2ANJMO0dr5mHlXgR2s3l4h9gq9Nknz3HDiPJupL
YiATsesTFvHIZ3Yqx+zGMMJfk6PA+uGm3EnhTGQ00Ezo9Km5lrGz7r3yi0eWD+ASL9xbI0nB0mbf
grofzDam141Zwy8XfmVuOzJPFroZ/7JzhiDe25t+SA+pjfPKcxI2qIZi92uUSxj18bLX2/siN6M1
SdQXKorWmS+Wd8FRlLM2PcfT/lFulu1QjFm+MyQHhT7KYPm0RBGZWso9RzyBmO0WocjeMbOhMwVN
DU/VyIB4MJaDNF9r4Go3KoDU0DpGseoi/UkRkrPCuDTNINFj0FH8BgB/jHwzWdk1M1FZECWEbecR
Lu4LIuUF/KDPg2B3CEQM07U2bNNIfxzZiC3KICq3Qqot/KP70HbALdWMTwuD5gIcmVrAw4CzFRCC
Y5Lk4ZdEWXw825z5SGZQHf/3uwt8Wo5RYUUauKLjorx8xRYHFpri51h6twjKS4Jj+vPvvxPKrfS2
KX/N5deTb7KyxIhLhwZtbTb52nAI9vaC5BCwUvkG72cqGJLTyAGpN5mmAAY9xaGETcMGsCsCZ1Hk
frmMEWmvfWeiKEQtZQHm4XuTGtda732SPvHHkc9uf8gLsRJl85Il0/0gxysiQFiMGWahSJ8DNe9S
iexKJv2m6vJVMhTEEsXAe9rE27S80t/Hy8kaxCq2+Rf9GqyO1vInStVvyqBrF3JqEaB5w+3vQ1CQ
k/ulcPYeSNd5iKkyw+7FgTFVHPXsST3ULV7f0YLsKvoHMzVuKy0+CMFuzXC7VZyn42r+L1rGPwn6
eUCWHcA6i4CR+TNqBvtYuOrBCecDhE0glOeQ3SMrdkt6kNwMVUpeX8m/XWv2UwXrZZm3QXXt28NL
3bYr1fGAiT+9iQVpQj6CzaUlrack6u+VsJylKOxdn2cHrU8O05w/hkCc408rDxyKt+gtcrrnPQOT
r8NR7Y007D9he+WH1LCPfdOvBLr55XwwGqY6BtoBGY9S8FG21pNJuPiF9dg583mz15k1mTa9PByD
b+dDQoaTyrRsSpru+EJe9j2ayyP7Cx4eeSiref/1+6hdtD5paT47vd/ffB61m1E1alEl/LEqA1XQ
Iv7xiZD3+lq4OKfRr9BpQw48dONOzpknfZwSVx1aMaYk0lAqTfo3Jbb01RSyLrYTSVY5czk2BVDY
GnNM0o6PvWC7pdcCwJ1O+uQQtjD6PHbWIQdD1sNIYM1JAD3v3aR7aHtmUAxR9zWQCbKv5U3fdfeW
3cXbQjrDOq5TsarUdJVF6iEJqFpnhjYRmjy+OM1UbuqyvYc4kuzS2Dn2LCIcMrsHAc9o3s237r/W
1/+rsF2osDHi2ID/7wW25bOk4IBKBHnaX8TV/Y///q+//tS/4gMM6w9EWVTECMWgOGvzF/5dXWOB
/2PWUrOZwJyNC5UpNC+ge/z3f1nU10ghcLBPMGWj52XE/11fE+Yf9MtxRtFd8QSbnn8UH3A6Tc8a
W4PaH7ILwWTNR/T202onUZQVjL5jrshu7MmdLeHHJG6KkED1dw5gjUMy9OStI0dpv7V4WL4gJxgI
W/Xz6lJp+aRhMv8aqo0oBGkBz8fFeVF5dVS0ctDvILT7o1nlBrlwEyFkHQgyCJN9C2u5V1b3ze3p
2S3qzGurJfwXgj+CqQH8zv4w/+G3rf6JvyPinCyl8WWyNQ96qGMHP42RwsKF89jv7d6rrdrvX4zj
lNK7T6vrXYPRit2Idzu2RwFpG4rEMMkv/Yyk3bTuWNhgNwcjWcUuhfLJdSiUj6kutuzOSNerAWb8
iIamAfFCVsiqoafeL9os0nu4+eDW12GRRLcpLYqs8aMGVLtOLGBUXaUE8zFPNJpzMzdLLkED3r8G
5P1IvDlfznXh0z2uO2qh0krZHFlV/Mci9AxYKqnJ0CjzDpLaANe9DAz59OrjOXPCPJnmdXdWHNGy
orWAPQqSwNu3b+sDvvMmzI+5R6YbUT3dMW/qZUzCw+PHV5oXjNdvbb4SSrhZhk2uLzL2t1fC4zJO
VR0VR4LNrWcSIWtJYRey1SIto7VedRJ/gY7fcZkIdLWXBs1JXZsbZaDgC7VYbBETnF4egWwchXkW
H90qtZ+zhLJPKuffYE9ZsyYetwD0zqvfKlkpE+5X4f5spd/syZyzrgdH1PqSlIMiXSZunn0R4EHF
KvLG8Wepkc+ka1PmLm2kEKB22eJ3F86tpyKN+ffPJxOkYf7vbutcpXj1mepOZ+e2HWjkZQbZc1y3
DUlpGourBRdszMMDOX3pd4r05fUwVdHGQWMXL02jd3+17jShS45wZVkFdMaYdfhHb5eAlj5+xRzI
Tl8yWwUGEfm1zK18nfPp+9WvhM0Q6zURGTfU78oAj2frR9MWR7rwNy0rLjbESr8DkmR3iyiK3GUN
77Ex63IrrZIdoqxwOUqbkDVXqvCrSrJiPzYUSUu7Kr/QNfUIoMuBr0K7JFmlFQmYt6TJj6rUmk+V
NhHyE5I8ttCmgFwpk2PJDt2xvDeT8BaxGx5nUkqqIzu3h9bMNLFyqPESOTeazA0EtE4LXXnJtURq
+C3QO+sQ0Y65nsIBhqHSYYUsGfPxHpbImC0UW+mVoWzY+MnwUiLg+wzulsqvyqCeBU3V7a3ANB+q
yFAkNbiaQdMuSoPvSMrrHghdpf3ZZW62wrJi7tMiL/dG5csfcV+S8VCKLP0c+2jFFn1lhYc6AIk2
8hy2gOv8T5XKhrWl6mpjGIPRryVlwHDZK+z3SzY7kP0aUa86ktoge4b6igCQdsdSY1LsJut04WEm
eRoyPboya7/8bIvW3nZ+opkb6GrTs+eQF9LoIGAgC3nhRhsG/dlspPrV4LCxl5hxOcXkodmHm6FN
Cj4OpdYjrjlvUxfA/OXchs35VxcsQKSqOqQGu4uE4zLJuYEiIaGwh2lhtTJYilbLsy3o+TWJcyPA
GWFYBJ9BJ+WQYlXthmAQn7gD4Q7XTjpNMrjrYJFmdJRjZFn1j4hAGnP6hp4Q4Qn2VchjafECVS1p
Rb3o2q4r9WObtlk6HPy4Qr8F0CzYZzUVe+hrsvgM/FHsk1EIQnZ5B1RqwX0OvK7MA74VUHRbtjJV
1dpJAR4sa9kawaeo0mc3czpC0iD3ARDXtUP7mRGlgsKYky1ZCzfU5pPgU8+nA74YD6jHgMPZl21y
GYNNlhWLV7Ae+thZagFdYDgYgZ5bS/pEJPtFPkljGyVdma2bgF3Bxs4p+sziQmbMHKHhLK+rNbmg
+BeSfBNrWbYuwhjEb9cTabHSC7PdxkQcescZ0RQccmjVrp0scwC507hrgC7U0boMI0hnAXBRFIl1
k8ebURI7uNMbQkOX1LCogsG2GeW2jiviZ3mt5letzCZjJYSTUi5MM137JBNY3DzyPP+aZJmf7UXt
t3KdRq1zP3WtEJtEK0zjKlJRA17XjcwIJ27dl/lnFmNxSMLJTDcdJ618XQBwmtaeMSAvwVBaqpvM
I596rfGp1KvAMLpDLWxbAvUTYbdyiQItqQg07E/yKRHTT4m13Vmx5ZfZSow0JPaGHtMei92UvJo0
pfUQF3FATzIgYJdafOnfJoFKrKWIqwSjNTYa7UoPpLUxygD6jBv5brk2xojk5Sg2VLhOfStSi/nf
A9QW+znDJxTVciChdyIRLqYEl4/FqEGPSz0TtGIeIyD1eopnD5AmzO7olD5Nltyv2hsbCarchg39
fW3hZ4KnFcSRkX+bDJlHh2rM5LBplD2Re9KG7YOVmPazPQQZpVyDwbvp8sEV68aZCE/OOmNOXMbN
hxQVxHZsxNU3qRQ7iwRK0OfGdtT3so4oWLnEq609ED/mIocEITa2LMheyeveOBKzK6w7cCbGg9Fq
/BuQZglobo0RplFPZG68qwfTVPvcDRvzU6y5/mOuV/PgTJKq2bqyiZrbYcTNv9QrxbuJFAxXkKdM
ulesYP4jDgtGd8YsWa8oqAxQBRs/gEFGAnF6z2HRx7ttJaq7aYd23nxGIJ45o3NwK1TGpYtiIgxw
MLN22uqpO9/8/NNBwc6/q8yMo2Xn3EU3S37xaBTgy/y059MpZZjGd3nt8snXHbuCkP+NOdVs8+hT
ZVgjB3MBmYfXreqhu8m0qETornfVsBnQpok1carmPGnwMS25IyaQwQevuKzaPHsMUK8evD6O4R8T
DMq4GEPnWeWCnzHUyXgvYJc1VyHb3OSqKPM0+eyxWmybXDeOlR9W33Aq04+KsGOYh8IL/e4qiIqw
X421S4jR5I5iW9JMSpe6W40vqUzt26Fr9GJX6YA2vyongymUBVr2a5z8eQ6JKxmtOAcQiBebI9zG
0sn8rxrB6JtMlSF8e4tpbqxVdB8XbXPlZyl8Y5saZMi0RyORYp/pP9L+7kM6pTmfCUlcwt+TZ2CQ
0sKEPB6Ae/FtqHnGXie2xhMd+qlfs8io6sqoYWkuA58wcFZa0etsvUlnITXbf9BGtumHyW9r40fb
5CO8TLRe/T5WJn/VkBlQPS0V0vAueS1qqaX06GAG9u3NMLqS1GpKFJ7b7KxsAMQ5KYeXA/avQWst
06KgyzFY1xpivGIdVWDvrsKRYO+lZzdZ9MBOpPmh+znTCFNn0y+I48HX4Kveq1gFxuqzDCsjfgJb
KLyecqaWjl/KVhBbTrMT233kaml40IJSfY9CHeaodBsn3ceITu+GRgumbd1VTQxWumOQxlApxO0A
Uso+Zk4p5cyP1Z0bTNrWgI4sUQ1xYiVvjQJiDFBzcjPmDgSq5OCIoV710vTq7eRVjP7Uwne/GoNR
b6htNU71VUFofKB9zVhjpfMfGetZc5v7dKzoO5Q+iVbIiSkYd99CEJWauXCkIe9toK5qpeywtW6s
QHr9fRU0PrKJkBG9LmPB2+TgQFgbxo20uHbrGUxvDrp09sFQ+NzXMGjhTVprJUnSDRlmC3ZjHUUt
GfD7a4IjN03kpdFKDbq+p7PMd48nxo0XVhC5fxVh/6+ScqGSglho5qX976WUm/gFU9xz/rqQ8vcf
+ruS4pl/oCEk+xZZEe0RTI7/U0nxdQopzMWANUhDtC2HA8m/KineH5jG6M86CGBpCs/d538rlaDe
IyuaJed/6Zv+gVrp1IJp4k5DEcd5gy4EmqlTuV81aENbyca4yktS4tj3hlk87Gq7j7dBpOdo9Yto
hImapIamiB7HOD+UqLxrKiml/Uz0QM6+nygJAVLZTpwJZgUsBiu5Ck2qkABic1abihPxJdsuj+D1
aZj+Ej8YgNdcv8AwefrLvaZTEg14fQV7abg3ImQhNnHZ12Pv6kcItoG8cICkY/3ukuAz6CHDCaQ8
wjN7ezbTYgnAvSvCK8fxr4vWhQyNWgnTSmJZYaWTuKJVO6PWy28+rkLiDf8/e+exHDeyresngiLh
geEplGfRUxSpCYKUmvAJnzBPfz+U1Pt2k32k6DPe0RO2JBZQQJqV//pNbymXzoFDAOzWjmK9PIRu
spjMK0w/aJaG/bwzOiBQ1iaKjnLBKdAi6w+5gUnSzgpleYEFJatilEgWKD0LG2dVNzXVq43RVraN
Bsmz1hw13uUzkcCGPtsveN6Tb5jWHpfy45BNpnHDJfzdxgzwZ/Hh8EYIOe/avuecpU2Xk5MYDw0N
MwxjTSKQG5NI6snSWLbmrtKvGq/MKF+jZGJXSnz2Jn25c050OUZDcWQ86DoBLD+LR5xk62dtKTIi
Z+A2RmJWRiJKjOrZUAO1g1MadXw9xgV35E+2eSB8Oh4/N/Vi/buqCVJ8MFKCzGDAoui8Qjfmcg5w
J6d6MsyeSq6DLfBCvUSVpAHDq7u5kcYDBknG+KWi4NW+mkbHk0ta/IFWU1dSEzWVx3lA4T414zar
cem8Uvxt1ZOysyF3gRMvZ3+QLA0n0vgmVHpLTwe3+RjTcZPvj62T/ZJS6z32k+M/qn5B8vxBxzS6
RhaPUoePFm3NQ0omi7fgWF1HvuFABPXemgUHC54jFY6dmDyWRAMrWY92V8/3JAbyWhUIjH4BUz+P
j/PyStzl4fg0WHh/WOxe+LUGCpfkneYGGOUOlzEMh1uNJFRSY0YmL9xpnJBrIlawBGgmJmHu69xl
gwLWXZfKyDdW6Ebr3K51SGfDOD04ndFdkQJMkE6RYvq+gpNVvkRpZ19OVFuPmnIpBVWV3+DkH70Y
UNrIX8gtL0gM6b7IKFNfKlNQ71KclxxMxHgDv45yNU4ReAcFSTHT0Rgd8D98Pf1HDbFed2sks+as
beoE+mmNy+MdksJprkU32lC/7UiTSBX62tRxAocyMUPgYEQa3zi48+4Ss7KGtymd+uqZH4v0DS3Y
eJcUgj3bWWh7ZcQYaQ14SUFc+voDuYS8njzTaprs4cC7zYaZ2mAm9eeZJ8PkcomhmXcZXdJw2wqt
ap/a0B7vgGmZCNrs8oATgyb9LsN2+MI2ZvDFcGybfaSAtrZpaIw3tBdr0mRm9neTUJuIg3rPVRwM
pGZMDVpqnXHkaBeQBUZl0ZNTcCHjzGgeOJlr2qPWu3N96oxGa26m0edOaCax/M7FMPmfE0sU2R3J
js1+LLSmDkJlmodZQTinNVnwLOmm8SxHMVCE+f7CvahE0ewpRDj7WKwq2MHXKA6D80DOoEeMW+I0
mMeOWiZF11h8yjiYrKHSKo2HpNd0M/B0L3aextzrjes09FkovEgHJHDNQb8C5SHEGykD16SAS0cy
G6KGklRvhqhaEV7QfTdDr8u+NBwvdbDxcLab67KQ0vFWY8S5fePmJDxs6DzySYLhdGxrl3fe5Y1+
lQL6j1+8PqyzP2xXGka9sqaaM1chlGFcF+w/c70yevzcD6E0PFJPytKhNooNc25WUIPgSmrIa78m
48zxI4m8KwkL/slWfbhEQ9y76LSHQC/K/vNy2tyQeRKvGRgt0bpRfDBzP1ybi5/zqkhofeumPhHh
5Rb2ngggZ5G1pjRMv0Sx1UPAqWxHpquymkLJIlMeqsoTjy30jsAsxFeNc/aqkziYZZOkzx8Po7fH
Rz16zdvQ/WOM8E+VeiOv8Q0+9UBU0ybLm/EWJ87oq20quSnYpNbEb5t3Xh3Krzqk0K0hBTRDwrjw
zO3c5sanQYp/Amf0FeFP+WVSRflnI23dlS/abjtrHTaXakQvTNoD/vdDda3yuTjZFl5y/eDmEHcM
CI1+H98rK78ZXNCsXVPj6l1PmC8L8r93iuP/fdQ6+WfMGNpo24BbnLCb0dd5Vs/HXPOzLf6GCRDc
IEl+cKlRE2WWD2w61ZO0iypep3MriW4V5ZfYoZrW2Xp8mFWc5QMHB4aryhnNVZSoApjCbd+Sxm3W
5PZae2Px6iDuyrgiCMG11rGA1bEaJ8qBddsY6qJui3Ln5fWEI19ulocloWEb2fptGpbVTiCzWGMm
XT2lWVNRxhvKOcgpBAycCre/qjsrvPcraEhaOwMbwVEKsIabPTQejnOlxV0Nw9UG4ZFyOgya7iNU
ygDx2oZgBIgEQd1P6T6WrfOgEjV/FyJPL3zPh+tG4PHvvIzfdUAoiQDh+Y/mAAJ9pEx/r0/qsjA9
gsNIrumqZg/3EyeHwWQTsrQGEZGARcyRsdn/peT9hwbIUvX8pS1xvuqi4DCQzGAU90GfHM6xGw+2
f6xzVtEEL4I6qDoDgOPX13nXaDlfB0MTHG+o9mAvvqu+VFw6fesDvlnZAk+5omHNlmP1DHrDgvHv
L0ZjSudx0ur4IBfRmcNaRBF49Iid3pRlDNMNB6xAS3p/8+tLfSxkIQAhmqQWF7Qo3puy1RF4GKlC
2Kk7k34le0pvG4FjgDF6edFCq/8dMeHD+/J0ziE6w4Qm7geOC64vTNu8sMlJicPHH1uQxDiZGCTZ
Uo20CSaxv3mc77oavDu+3CLWxPyal/e+WJ+KyOr8prOODZlb9Ak1QfHDgsoOLMGcwtUS12kGWqH4
WWgp28evH/LHQerZkEARjCJLNez3tNdSWrUY88w59n2yWNMCVY/68Dsvrn+8CjxTnwaZbXAy+fsE
zENjkGHSOkdSY/HaTWSyc73f6hT/6SocKD2Ioj4mfu+nuQM8Xtsa38WvSY12YPYF+E39H4YJ3DR6
mh6nHY6b76hQWV3UCVEx9tEIYcvQsGVQqGkAQprCTr/qKuCo3a9f0sf1izWdNYyvBZLPZf/++GSi
wmnIHeuoQaV60nuyCWehKEV61PAb6U3AIHBJGCK/vu7HlWXphGOWce7gfpgReJuhdKlIDsp6ZndY
LmoLZ2H8po73G1eFf/iKDA6Y0NTgCD7fL5b05BouVRjHsSEKHI/C8mJuu+o5txgwwKbIbZdR8++/
H/pzD+8R/LHs9/pvJRJpxlAqjvDycZ8vLPOQCy/ecdD57Uw/E+P/vh0soicbDxWXHvXHmRZ7jSdY
T45z0/reKtULG3qZK/K7Ss3NVZnmsVyF+KTfjAN13UCt1V6pWo3h1tJai8NFab+QZdR+R9ltUnXO
Mo9vSJmvfmfF9XHhxYkAfRZNe2w1ILa8H272kExayAhf2gRBEibVczpq7Je4qDHUUp+y/tdvQv84
dxcbNepKrLHxdf5AhSfO3AjZ446ap1Hrjp7J+QG78e671+hsmXEVLuM9TcCu+7x+VopUsLWZ+ONd
3Rp1ThRJD3hIlZTsukkHh/71Df7TM2GlPBtf8+7ea6BF3caz8pj1xexRdAs7/apHmnnESVMmq6EW
v4NxPsw9h/4Rs2EhziABfX/BOmmXop+IJmWFpAoJ+io0DiXDdKw4jf/62/3TxcCNTFwSkXZ8GJve
TOwEierTccTg5yaV5KaJ1uOUY4uKU9KvL/bhVfPNUNLCyUfOzHK2oEl/6eQXmaZXILcTAX02B8so
6RhZTEROib++0HsHSAOViuksxQOE/IWX9W4goxRJRqdyByqIhkaR4AzXB5rXdnjEYLXRXlSpAgmx
Iss70TSEG5BXrtms6nzZBst6vIP5AE6gDRyWglafq+fZbZq90BygLFAvcytwUuV4Xmccjs+5oZ0s
/bL4twvx2WcQpyf2Nag870uhBKZs5RZtezTg2K4H7J8vClgZu0iQhf3rh/ZhoHOpRd6DmTaQ3gcD
MqiuRqfGuDk29G4P9I74/thz+RtMPBcRwfhb/HDZvf6yMMJoZD2EJLQwd2zx4S3JuSBdrbGto1OP
1h8OoU7HxoKpdAZEHJf4AfKrc/tzOY7GbzYA4/0QgXi3OAw7Jlc2sNqz39FKrDzsEgvPpSMSt6yY
1yL1HFylJng2phHgEOK9OnqWWWtVtnp75UclM9BsogSd0ASfjQyc6U70BSjifO4O1vidc7DoG5Yr
pAzoUQunTXc9n4/mY9Ikn0SUL2z/KEsBLgl+vbXTFuXgMrwQv1I9TLSoqiOsMvqBhtPSkKTdhSV8
mIH7ZQBH4SqpFS0ZL8Ja6ZJMHLocQs+K2wG04apxOm03EiR7g0utNu9IE4NArToJBcWtDUH0VioI
0XLtnmhlq6lOXWa5euDmmH2tS7weOEDPyZHUJz2wVG4T9NvrcU12UF+TMQD2LdRQvphzKkvmDMbJ
c9BXeq5/HxoiVE+pljJf/LFawNApyuIbiHP87KLCLA8IDRfvgoYYwT0OmpyKZD3zt3Pt/iw+VRaC
vPj5UtfUEFaeY4ls4Q20PBmCTI8IKVpNzehnB1zYx7uKqMb4BjOrnDivqFbdbWu2vBCjwut9U+pF
ld2VM0rYddN3Oh1Y4Yx3mTC8U+Q4ZXbnVnr7nfhTvsVgpvb8h4l8wLpsan2BogZSqVajSPhFvjo9
8YHbva903/I3mZFaJ8XTVCAaPdhckhFivXWqicuDg4BcwTEGCPeKyTE3ylxoF70Th/rrPJjyUI9p
r92jWeTSdTaza/nQM4Bw4tyk4S0HZXd3ekIE3jpjuMQ3nFfJi6Q/PlSBpiXWQamGlv6675QWzJWk
K+YYi4vZHDGCpFQcJAwX6fHJUqE+HGKivkP2VV0lV1DUwLQ83LzhUeEYYaxIAwRljHoxNg+6RBWx
I9OaAYbNBXFaWtKwN5zrADB7Rt8cOUANsVOCm+lQUqcLskhGMjoI7xvf/G4Ob7xZjTc/IDg777kZ
Mx71H9yCJIzhW7R9O1T7H9PKMVhbzmyZwTVT70ViuUh04NJqhIcUJ3vQXrB5o7NYxhvHZhTVnsPJ
LIbXBSWrXTBzM2371ykp4fqPCTj8j9YM4QQvoW0uhURkUdt5pWu9FHq6ILEN8DwsC44/I0HBc3De
/lynB2SMwa7ck014MbIRkYzozL2MpnrhR0zTotLoNOSTxYO1QmXBP/GR9d62suZGdAF2sq1yA0nW
rNfj1x7+hKYAemyYB14JSf3SHnP9wUlTKDmEfifTH55GJ2OTehDkbye9AgWOaT3jxt/rg1uwH9MG
iEviboHB175FNydjBnem+4XCPCP3BoF0WZmrHKKXlq7CcF60A1qOOjlvaEOvCVpCXgyCNntAEqkV
HgshCAQkMHTsPACyuUdj9GPH/2+f9Dd9UmipbHb/e5uULDb5x7cu+dZ3f+2U/vi1n41SDB2ghWMc
BUTAWR9y7n8apa75CX0caMyfTc+/NEqhnHNOPFdA3AQ//P9GqfgEkObYHvQlFzHPv6Occ3x5t317
uNIg/UZsrLv/UBnD3sKJokzUvkRlvjbihAT3WfqB3XVPk5O9ekKhdy5x5qGL5wdZStzfOE7Z0dOz
KhCd9+CRu33UiP26JFL+pDz6LIv0wagbBrLQYHKlcCSn3hpXGGnOWwukeF1HDPPYq/1t5WuI050e
cblv3OKWAy8tBl1OLS/b6LU7riIESyuYiipIdck1RS3WadY+qdx/6O2kZJNBROTY6aujVYL8TP55
puNTQ+54c6hU8wTCXwWzrcxVCu9uU4TuozaIO6JvXwloTvhd/CpK5AVRR3IwsVABZOxbHXUvObZ8
H6ciKYTAkSdHT336CNDTBo2vJ+E1BSMhHmuluYem8Q6R7DqocjwaBXUv6goTTXj2ZmTauHIcHmXp
NS2OqXxorngErGaf+Qo8BuGRzUe4Now33K8F96AqS9vEoQFpLjbKfcpWj3VElK+d2uFvM+t28PDH
Xn6TlcBbJX5PRKThyFWEjxDGGma3sTvinbEIv/Vxod/k7bK4RLN9YVtswsgMjE1fc0Nm5WTkOEef
sxZuY+jiMoHn6htOkNCFzMYI7HDK1gM5nrQFUeKEuYZvVeM/+IJ4YlPmVcAZJw1iVF9b+FzeUmOQ
LcJZ8yFE03eqfXI4K4041IqtHNkbT8+EAMP+4B48XXs4D5Kkpj6eLEJcKpdxAHHttlAe6j3hPwwe
BlI0UVSAN8OtSripKM2sg6k1/lZPcQsvo2I8un5nYHK1jKKOf0vZepW0erauy9bYkHCZBg5h4zwm
Bhbdqyqg43DFeH6jHlnUsdw6CaqvSFx59zP/l9InWymdym/ovDZwVcnvFDylVgecMtxqvuR46QdN
2zyd33cRLak8OcOqG/i+UcyQocvGq69r0kfxxToKlJ9Mcka1w7/1Ykan5zJUymUuRNh9fs5j/pdq
8NXUuRFmHsYmVZZc9Twu13IfJhiTm4EWycp1SWkfvGK+jF1mh++2Ty7+CXQYeMMe28FqiTM/PwxZ
MSmIep0vq6x4LcrB2ISUlEc2OZvmKYM2z4icnqSv3xUtJtVGNRCD02CoYHYVrmGFYWyarBRk7Fg8
UqG4hyhuL7wWeWUEOHsyawLbaxJ5NpnLpJwG85QMqVxx5mGUgSLCf5TZpWcwUU3BQuCpGA7oFOUb
Ntw3kavkVsU2TIdlgCxJ90Lvjc1o5d66L72R0F7yYETB67ZiH3+SGDfYUZjkHOvLNMyQCZzfrYZ7
BM1QeXJUuCwhDAEMGnzYyDyb8yif8ZbYlsjJdi1FBZ2R3N86ZpyvB43hfB4Aywhnit8mi1EZvhJ+
4CvmtzX78/78mruezb1rGEZjRgiRSvXwpUpsbW/HfNUZSmAge13bh2gPg9ROXpOJHwi7eouW9hV0
b9YVjdlcmJ0fkMwbHkXTyxPs3PHKHnHUGtJXDXLCSnMHeQozIyN6mhnRz0LbRzbzFGcW/TRBPyWS
lkEmC1OeNEwxgnNEgpsWL7JlcaCDvUpGa4cJVQsUPfJh+qACqzWdADG7uYYZ3WI50jaHAbnxQpld
QLtC7MUS6KnlGJ64ZFxtwoFXp7n4yYS9cRsDFuxmXU47yG4GZi1KBXbN1w4VtzD0OrPIxZah8FjB
CoIEfqxNhj8am/OkhdysAi3SHvjs+MZuGBIcJm8N+t87hzTHFYHQy7aDFJTeHAJsJ+H9lblYw7GW
6C+s8ap3szffsnk0EzPg/KwhG2XrrOAje533akko5NbYkXzj2SyBFv6rbq6FNxBL4CeXIFBeWL/V
Ln9c9OmGSV8BbbCeWEQuU3A13zyh2Ru52IOUtftYLIYhGc4h2tBfuYuViDmA604Jtq8rLW9zfe1A
WKfrO5SCZsDZqySfv2Z2XihsR7DQ32CvjcZxnpv01UjLca1jfWcHiTAe7CjL8RsYqvQS5nZ/TAbB
KzQFHO1VGNHF2aSixlWsTLobKmKHeF1HzyN32+D4kGKM3InNOMHV3sxWXOFJU9faEe3si9aV5Xfc
FL9ZdCX7VWSO2RvONdoM7V+b5zZg+R/2nWzKLezO0a9WDTm+QZU2zPkUz5B1xFYEHccLL/2hnLUt
ANrQXqFH8twDbNwW88pp7rQnYitVEOMwkZ/C2De7VcN5BT+mKauTK1s5Bq4/hgy1O9lTPsSu8/CX
Uuwf2nfvYQnqGporHuAAUUveB3PQHDn+bJVNv3dJWdo1c/yWZGwupvQe+qY0GVbMOithpP/6uu8A
GMIkuS4ouAD3w/5fvOsvoAky8MKp+r0+nBc7Sggzyb7LAbsVTODefn21d8jfj6sh/3EMtIlLG+jv
YBznbg1Og+z3+cQAWSoBPws1/JRa8eN7/fcQ8JtDgE59/pd38sHX7X/yl9eX4m+a0x+/8idT0vrk
0QbVyerTf/iz/ecA4HmfwGVQRaFAc+hbLh2vn0xJ0/5EYqFN7Y8QlCHs03D5U3MqPhmGBc5OzwOs
F4/jf+Pr9r7851NgKXAX4GfGR1fMVK8MtgBLA9DC82CVpESg9kzj38zG9+N0uQwt14XZScOUKurd
ONVhbEHz1vDBhAaYlcW0NnvhXReD0n6Htr6fgVyL/AXonzDoITO+xwR5FykrnBnuJ730r4WDeQOg
qXmEpjbeQGlPfmvG816Ddxa00WiyBXg/vXXxTsI4Zi2kM7cJ9wkeT6gQ6rI7sfZE5arUitJGDTv4
j+iOTWMrWBLNtZ3ny/5GBSZ3tY1bga2UhfPHSJPsjGX45QiswRIuXuWYNNTPrb+rw8jfDYvKv3Am
I5DhKI9TszjSZFhV5FrTfYa8KI++4qSgwai+CqcuubKiFHtxM5LxDu1ScUiidtrUXVvcGpo1/0Fk
xfwYZ1bz6FbRJd6byQaODHKVKhfEE5jZJf0NZ+G8mf2t0fbF22zO5fWM6PGzIRJKDmQwWzZ9GehY
RCDBkwNFQ1iC+2JM4ily7GH6DBuIkNUK9Vd74epdeQVrEYMPhDgvgl7JPneI5JgbbdjDanGjlTX6
WKZ6mlF+a6E3nvCdGEknmWOizmv22lXjWVuBRPAZkB9LlTWotwvF352GaGifYVvYU3uKZZVuXUnQ
SDBgd6EFIi5FBQ2rkK9949IZIwryS4qT4Z0fCZ+kd9H631OvrUB3/eWgV2DxBcWKuJRtozwBhYvm
1msW5x57NZzga2pWj3LbiiC890N/Qd7e8OhNMxZvYdKsDSyvjlY6R8DKSWpfJ6Z+F4+JIB8b7BlY
1tm0umieC7dU23IU3dZTKL05hjrF96Yo4l0s429TQ25NRFP7IvK9vqKcw4dp0/JwYvgwl3VezF8s
09Bu6WfNJzGHSzzWqGcHhzRX7O6SNBT4k2v3lpPYhxAYf6/gLW3MKclOdKf673CdutdMn9J8M0ez
gwtLl/hHHkG7jkPnW93l1K1DcyVz4NLRzb8LE28DJ7MuwoVwlXGQ9VuNoL+QjqZWeTHij2IMWur9
AAMnEfhhAg+x6i5SrbE4ZndY0zjCS1/oXIf8Y/erGfZIZ0tn2oyuU9+FMKBODp0fe0SbtMIDyGJo
M3twcVSXZmYZm1RXf4wFFFq70brLzJDz62I+E/Bm7ddqzAhd86WBw0rX3dV2p2HN4d3VtZ9sent+
0voG34g5NjbGNLc4j8zzZvCd4V5Kvw8i3VfbqbBu5VB8IQq7NPZJ5g3KwoFP4aIlnSQzVr1vK/Lp
dcsC36PPY3AEb1MF4Ftk9gaNCVy1Ka+d+eQNpNIcclp1E+I9iNWCtHItmh+zdrBUBEsLMDXiQZCm
0k+qTR+sJvWiLl/p6Yg3NZTZLt74egvJ1Z5icjO0MEtsQEXhrPzOk3I3qNlxn0bNirytO2WGfSg8
bBOh1WqTt21TJD7WKio6ZxvBEI3uFP5A3tasEhVd0UPv41VZNHKA3KxFHt6D0FnjCz/EvC3BwX2w
n40q7jlkCAo3PAvB8I3HtMfsbFtj/+t+d8eYFxV3cacdSS7FMfQ+I6i0qHe632bPml1l99h/JrtG
SJbhsnDxPhFYP7vhpDVBaBohUZS9Yx7tUVE3D7Ma+pWtxf7ORiB4HAyMVfQRc0ckusJdjbjdTms8
pmFVo31Ksd1b/tgNnfB+mgi/digxPSiHstpaGXTSMh+5bo+3wTrrsfmqWiGPyQgXCmfNWQZFHQLJ
ah4UmtqyQKtdKMLbs2FO3iRyY1eYhJAyx0EUU/iCNxD6X8+chxql6j2+Q2G6sqXWV2s4zMXtaFrV
H9SL3okbSaItRlHlRTX5tKp6J8rjTTMN5QGRm3+d24nzQmwd92dCv4e97ha32pAt7g+c7mVA15K/
s7WueEPbkz9ydhxvcgC5ee3NRXkfFTEk1ZYyQmfxyDBHjMOfVLz/VoG/qwI5Pv6yCqQfWMq/V4Hn
X/lZBerC/0Rv1DbJM0SifC5K/nQewZQECgtSmTOcKxYpzZ9VoEsVyG/98Bbhb7iHP6tA/RNo8mKx
ZdJ2hTX1b4pAEof+jgJzckCST+MYKwSd23tPZCtqt0VPANtXT6p8hEbuDV2RA03ZTimQHyrPKIK0
dru532UGvuDiS8fZS99kaCjbB6OwOtjIKAeFscmJpwA3YurIuvLuE0dWbC1Bn8pER1Y5jJYEAx5g
QbDMTvsUs3c8SiXef4U6NGByrYKp35G5VF2SrZHScsWoFa2dV8mTTWvxSFGlxCFNHOQdVhg+pGZN
t0xznrS2VLsB2DcKxOivfTutTmnRUi+lI7PCtjPjISbVmQzrmGULIe2iOvUa5W8Gs6YVlTczRZuD
8c/dnCn7RVQG64HsWnWZgErD4o47VqRGLSI9H4lOvpOjyncjkWPeGpeH5ICssnYxWe04iLeTYEPU
NDwkaCp2eMVlqgcewJAvLojtrMJm2KZzg62Zq0k+GNVLOAaFCtW1YYfyuRsm/W5wYql2YAzdOm5b
doqogmeE++80r9qsaNapXasn2O3TY7jE8AVNVFcjDAhvzIiAtvmiFpYFxhP51/VpsPV81xoOxAk9
UxsnqmodLLM5DWWpV2vAxWEDdwD+TpIN9sFhHXr08WI+Gd0itU/Osvu4XST4iqG+1sxFmF+Dr2As
jljfXHT7zlnCr9LOXSVnYb99Fvl7Z8E/7gk2e4sq9vXiBzCerQGMxSVgWPwCMETEOgALXWwEmmix
FNAXdwFM8sQLWBeLqM1s3C7F1YZ260QjENselOkFPgXlWN3rsokvMswdnsrFzyAUSh/AnqNunyu0
l2ujca+LYsIDYXFDwHnEhdkb5yA7gkalwigir7fTEm8Wu41/Pdo4K9SLx0K/uC3EZ+OFcvFgcHIT
mMiOe4ohtOuHLkyNQ7f4NpB/GH5lNmDmIFPdfyXfGosHDCtUtou62ngI86Q/DE3hbo1cYQzhy7C9
9yz1TSyuEWrxjwjPVhLMgORQupUJre5sNhEtvhOFk1vHbPGiWA4VOwWJN1zZ7azr6E7A6NuzhUWL
mYWNjumq9sT8mndFuEaDPj32SVXsw7MRhqYJTDGqxR+DlmN7TetXXtV2in1Gd7bSMFQSBvbir6HH
YfnZAZ2m9+FLwJ4k+oLIrqCt04X5Xbb4dEAnr3aqK3Zd6TEO3dBi+7YycWvHNR4VZ7sPSKsGxt6I
tsIL5AMpQpGuukaL6gPuifwPRKjTgfNOiaUvIJcCyFrJsPuWItBHqz8Mge0h1U9z3ycvzHgZh+mL
nTd2gCTPH9e+MtwGcNrEAihHfw8Y2TuYR2NwwGUz3P7+zJ/+7674u10R7ySAif+9Q3ooh7/viT9+
4eemiFKULAaXMzN0Rba2nxui73zCIGLBtFwY/wbi0v9siJb5Ce+uhWIKeZ2qaelm/twQLfHJBCfh
rOBATlskqf9mRwRPeb8jYifMPgix2xcGPdJ3zKKp6Dol3cQ7iroYL7S0rWh/GdndSGzd90Kq+TCE
neXCumGcIXcJsyvTLJpnvBNbpFNuq93okctxMa4mhXSqCx+z2QitixoN9Le4S9LoUNa0S4JQ9qYW
1OMcbXsduVA45u7jZHfDbd9UZrvCUCYPjzGpYN+VmuyTqnvvMR7LtFnNeeMVq46u87SGy1MEnQlJ
xLeSg7JVvkljs+4JwfFtgu4K0/kOQMX8Eu4hwpf4KvVHReBMbd2BGfZUpKoK3zpzLq6xa77M8h5G
6yST9HkOzfrFCiP1ZYxqmBpTG79pOCjSC4zsxbFwdAFWlF9gmW62N6kdjZcw7XAc9dmU3txC025L
mQ4w5FURXRFWHR4cq8IrL2o91sWhNK2TEZMiGIh01n00Wn38QjAaqYXsPxtbhfEzzUAiAE2v8HZQ
n0zEPiyC90hi4uve7g92iYJ1nwx5tENl6B0xfFI7wXZgrueicO6LOJqT3Szj3F1NU2zQSYJOOGP5
IPVojRzM/z7pYqyCyWtcEWBT3l84cPsDCoD6iAsITYFWx4vVQH+F++PoXzQz5oZ2OtFwFX7lXVlT
6SfbULn9nXKLeh+RkbDPNNG+xhoSscBPiD/DL9ip7ut86I6YzmkcjUcejp/n3UqrZH6tu7BwVl40
p+SFTyXHUNtVT8QlTCunp7N6obNfxatFhUejNnL9I7TQsFtHxZDS35XNteSIFiQjvdSV6VQ1Cs8R
zolI2u7YpYSvr5x4jG68rnqDFDv1e9HNdUJfxCzfBvoO2EYhHiQlwZq7b7IxHbpXoZc/hv2YHpQp
683sT6l5qKSjXuBReTfO0Kg1FhX21tfMBisfsza3YG8mZ1qcUK5nLKnSx1pk4ahuZ81LSlwKUGl1
Oxci0x0p3fFNYfjQfr/zdlFhUhw1mKKsqBRjrQXNaKYyuRKOW4RXUVv7WDCWMHSsTj0P9uAcvEk3
Pkce18BaaQ2d7R5TPOS8Et4gdiQ6Pquh1IHEypBMAmYozXnDPU6dRW5NkRVMb7MJJqhZFefilYtE
bWX5NHhaURV0M/Vwm8bZ0oOjt5yM/lKXmBioZPqFgcvlZYl/IEcu605Y/j4fhH2aKwtjfNHQhhFy
cdKvee79OFbFSllTuJZewwi0ZC3Qp5aTs27b3gzMhj0wSecO6nZDpkY6uQcToeSpN+dkPdRFBljY
44CKora+cNq6PxppX9xNurTo7pWOvXNS2d1pfns7x0zMrEzfZs/8rGssA7mXwcYurXXqYBReJmn7
oPVGfpUP6GMhPcX0B239ns4uq5ZXSFTuLa6pwknHgMZjvEJW6SHktbqV6rMb05KPvtXkQTQzsbXS
3KdddOc4Mt4UpHkF2HHJIE2EAspqc2/fzA4q5MxZnnY5PMAujtdCTf7BLa15g7W/2kFXNe4cGG1r
lic6slZjH6DkIzG1fZrwkdXCufIzsYF4N56mwp6/mLllPSFWJMcha3I6LHF8dPvOfXChR15Ug5OP
LFIta4pbsnasEpzSvol5xKIf5cd8LTJmbyKjFJoba2MWVd6+nOHF9UT5ngZd88dN1EbjNjTmPuik
KIIBBW8QJVl9VSyiJhfzw4usMV4E1oNkcCQw1wivX9nY9mC1pQQ2+zyU2yGPs004w5UIOPnztA0z
ZaJ6mu9/S1Cf88xNRbwkRK4xwJlLnhI7bq9T2oDflYC1gsMTpLXOEBvBSYjwLLen3+cVT3XpeTdx
x6kARoTsnv4fe2eyHTlyZdsfesiFvpkC3tPpJJ09J1jMYAT6xtAZYF9fG0xJL5XVaGmuQakGGREk
ne6Ga+ees0/uOzvTGbWLU8z1ncFdBd9Yoj+RGCh/9eB23gGC2Y+emOsHLAnJdjGEvitbe7yd1ICZ
RLd7kKmFVmyJx5Ucumk2Pma21Zx8sgufFvSVg2UJeaa5gKo//OCHWXOMu753igjwwsinSi6PsNLJ
wFbAzS7DBAFLD+Lp3DtlfNBTIFNT3hebxvY5MsvkDoEoP2Sxlt1rxej5YJ59L0o48zdWPphwQoZU
nfSyTXdQZ6pLZpbxc1ormYZV6/QfS2aSYFXalJ3NqegPPUoRt0hj/r2CPU0NRKuerAlPcBvnXheS
osZt54n+WeDBPas0lmfFxTEJS1dfK6lFemVSNB7NZDKhyCC+LhJfRuSiwb22ou3vLYU9Me2bdfe6
nvY80efPtBDlk5Wu5pHRNeatJF0fYb7Clsi78oS972EYlz6/SzrLwGGlCxfpOVxcLAH6G6hHyhab
2euyV9sxY1qHB9KBPIkKdNI71aQTGCZrrLaj4YoNVgLaclt9Vl/+MLlbwuh11HXESMOVtjCxcpWA
/tNl3Eu9epLzLPbc6ZItb9L4yK+y3Iy0Vz5YXE03Tu2dxkRrN8Lt/hYZ+M98/C/nY1rg/8/5+Osz
bf7sHTRYxfE3/q4aGQaqERwT1odruGOF0v5DNfJ+o/TLcCD6/XMbFEIT5FEyLi5JOhpJ/2QdNH5j
axi4q1WeAxME1b8zIjNU/2VEXv8FgLlkTrjnG/8ta1AYscCOFLsXJ7W1YwKIW9zU3rKYWzCvi8MO
ZzYrSt5Osx4wqqmsdYLfDdP7meJZebS9wuJq31hPpA7nV1oKshvGuhm+t+njcma+4LwOVE+5o2ap
hcdaaSZ4qxMpxbNei1gLiZuXVnVTBFm/n6Yyzy+emQYilKL0d1mf1scqXixaa0aYIMs659Gtt2FR
6+xgtGFmIgP+UKDpdmGuy/gMCKU99yNUvMWdxMmkHOoLwNqHXQ3+lx30OpS0xtvrbdZ+dFWx9iZV
7tG1+k+ro2YxnOm/yEPPRH9QSzof9Laxd/yitEuda/G88bxplwLP6eKow2s8dcTYR6Oadk4PNRoD
t8zvtDQ1XzHcn+3RajdGxkjaZ6l+Xfq6uQ6jQA4b9FfU4uB5dublbq7nFfQVvM6zT2WAviCjT9WD
nQNtscfOvLBD6o6jb8UM11l2rggwHB03zW4DrfwEdwBxE+c50rZb3DBisEhstAmyuxcfF0zXOwbk
EngXaovKfeMnTWOAJP2+aw6Bmf0cR7PbUnw0v9EnLbEecrHBkOkDNKxK/8M0R54i1Abx2jSvVOa8
Co0vjTJImiGV03s8YKuxrLrZ2kUGKJWgDJ42uCIYJKvJMXBPBNWjp2Z7VXLS9ri+I5/F1Ls73wCB
F8a0ix08k2hDmHrewHc/eZtaY0+01yfLXTYImihrLsGDq10Yxf2y9OoulilDvrLFOWVrtnLbZoev
YjXbAB7y3s7LbuHRZWWPuKHKM3H+5ZwSArjlIUpzEs+Le9mJblejm/4Y1pJcHOO0MoyF1v4K+j7H
XCNp4au8XJ47FWeHmRjyeYh91YSzK5Ov1CyhyCNvHVJjqEG5jK13Y7QBs3o2rKyfetFDtwtUGUKA
IfAhuGGFCYCgF2tmtxEKazF3hVWIBSaGl23MJJ12ENicqNAq3OMNM/XNVFVzHg482+toEk23CyR0
LsE35QmXmna19M8Ja07mUka8X82omq3vlwG2mcKlFkv7cpWj4/tPc3xNlEiGFitaM+S2WkUWpLWd
l+vBazbBrId1ctPGdXYPGTPd0f+m/z5hS9qZmeH+KESsiGZXUxq5E+QBCS0/7IxBvoHGtXjox95G
9/x4N+L3StBy5HLT0Mg0RL4fM3hA12ypZGDttIwmXSYO47ki0xK57kxH9myZx94sumupO7jmSjm+
OKnTPGRZnS54OAsND2aS3WittYROFfgVS3l+JGi4vh6a8HwjigrIPnTTwuVkymHTxss2k756nmag
EJMUxi51dH+TYqWFRWLHt6lfd/cuT2IDre6JNbR7Dazx0NWWupOjLiMe5Sdn5GMd5vB7jllcyYMv
3eY+r2ihNaTRI561/vJY9GV7y7BoPkEAyT8y3RAbjfqFcJSd5H6TpfGxZhnwOOeCToQGeMfc6rds
PpFAG/mQ2KI7L3kLucn09Qv0I5auTo2sXmUoezp3psSS+lEJ48uQjntpqdE6msZkHqt+dMPM6BnO
69Zk+RUn+85ElyU3+qR5kD7CxbSGRxWky89KbzFSa95CbSqbURplKrBtRkoLgWVSNJY5xR6yRbvJ
Yg5y3VTDDUr7/MzSGLhGWyeRy3b7lsiCBseEgyhIUrmhnM5/txqdAulWAiOAl7rtbNJWm7x33Hce
gupgB4H20wBFgjiQWtHi2uMvKska+I1Zc+2Fa0SwchAthf6ZqCrZCqMsNyb8PxwIPcvFNhbpu6mS
4dxV5bVvmhEp1625dHXtjVkmw72qnWYnZ1/d60YW3PWsWEU4jLEiYuh2+8pu4CZbs79BDZ02o5fa
PyEHT7gl5h9jmdI6xplZhnEh0zXfop1TzRYkixz52s64IW2jVVfXl8FmsBr3ffRTPhtc0TfK8csj
AbaZqM6ocWAlMpROZn8U5GphFuKYM2LWu0pvjE8JdGAzD+qZZXkcmXIxD9jpuFjqZH4fs8yYN62u
/GMVlFelG0emBx0dxjLcbaFDCgprkG4bCGcPkhapV2122OyMVc8QWqf3tKQudagxFb/oiStOgSW8
U4J93ucEjYMD5ya9g4N+7gnHXZUa7xkmqaor9fJmXHfSDu+9p3wxqxOleSEfiWyPnRgbrgI2Q+/Q
tWD7iQm4azA0WnES2XXiHwh6jrvEBwfbM95Guh+DZmuLfeP24zEm1Qe2VecK3Fb2kQ9Uuhurhvzk
gOHdnEtB4DiuzgnAIR5FsfxMM73dUw/o3qip935QKVn+3vUtN6K+I11WOY/Kt5/1xca5GLBSZkzH
vj8QtvNHb9wKJJdn4jbjyXGrz1zlwzHNvWQniqzZT2s57agoOA5hGfanzIzHrZ0l9hVaenOvBMZT
nyfXBKH4wUha812TtTwHPJXZ7Brx9EobH3YXNTnnqiW6aGbODsq/4J4ALd+1X2ZN2rhMqnJLwD0O
PTyUT4GftPtx8MVd6w/0KvUt4VUR//SLhCMwSdO9D7kuBJ1bHvqmVOfUtuVNC7f+bQr6LPR6Ctha
VSIHuY765XBNSWEUYajPvUdWKc5uMIoh4vtDZ8qt24lTddumxkfc21qI2zW9y9vmXEKgu51dLt+x
YT+XoqhPIrfsLSSWaYUpIF/MRfzRjcu8t/EtfcxajcoXwB+AQzUdPZmPu9LtP6TBuRLolQHqbSVU
JtUWvfFTGx16yhYL8Kefq1PAjRqkXHkzDzc0D9iQ75tquthlk0SprzdRqnvlc05f0CNDVXFTC59H
vWPErJ1kwZWpaQZjH3hJeympXq5cq937s97dStSLTT072j7N7YpWQjM5g8ji2EFQOSRxjq9ikrl7
Lxw2abDgjN3sj7Ao89yJpC0/MP/nUUMxQLvHm6LuWunlEYsp49QAbNs5vpw/Rx/dDEuCYkgpetcJ
CxihdeguVBw6jZp/1Pj0P1zc9XSa9Z9VAomJb+RXNVZil1d1AJu91jo457oPwKzA8K068MSA6ivc
STZFpO1sFhFOGHcrp0qkEc6Pr3jozI3N1ZhHmkupI00u5CWL/I65NxoyvdxJ01U7nba8rZIxTFXO
ATYpTJspG+dDbGn6Lx8GQjiQGQlHmjg3jTuQBc2qDggRNXF9WTw4kKessNeX+SaOez0StZkfdX7V
HwCuk4M5x/HWq8eWNumlL04dUcEoQc6jTAXGUSjQOd9Eqq/hjdFzwkzpDyQ5ueDKJckvhhyMH3Pr
lXdqRtcmTFJGFirULq5VWRuP/hyPebyJJz9tfmRjNbl2iGQVVE94UAj8nmKWRMXNMPtB8ySXiVeN
fodZ0xZWbUzKND65hkKhLA2PXnK5gmyDrACTShnARmOTh8qVLPPP1m3TLxnwHTIjOG/8neaDRoaY
BeXUHuMlntl7T/68IXGfnUZwsLei5U83vdu8W3zyrGLpdnxF7bYIApw9yWLuM89pG9a4c/3VxToC
Yjb7R+ITik8w+46LN7pPilQITETH/bKpjMcg5an2JnYCuXVU0F27Nd+Qu1V3orioetBlmm5cq1kS
yJZyPNjl4K+nwbJh6jORWRhhTNlXYYJydXC70gZL5pg3et1Dr9EJ8md4Tbd+mc4bx10In3gaX0+H
GPc8Z5P9SoYGCa5nc+ixLYYIK3RafXVeuavElhZB7ltQY+O7JPd5WXG0zI/4apLNlKM2RAOBhVsc
QfQ4DYScOguXQdg7Pt1bMZrbnc9TeN31QcZHZmdG7sEknOYqz58Sv6TrhNGTO1M/XZZaJY9Ifz0+
OV7suErzvRYM3L4cs0ovdJPKjr6qmdX22MKQzXvxGMeVPgD05o+OKnCORd/V1yEJujARhnjpCJG+
Ga0v3uomeYkrTz/bRF8AWtakLCyzbdnMB9gGRxpnvaBqHyeaQupNHLe1dzvOKR6xVHx6qoN81qo5
oeI11SGxS53HfqYSrJ16Gbt3RbmUr7ne5s9+LmP0zoCl8zIaJkXq0/BcdCNa38qkw5Wb3PRV0rLW
Sepd3uV8CCl/BYLnDs6Cn7Jj1hGZMDdx6sjfFVMfE79GhKNr5uVeeCtEtw7K7NolAZOYWBsTp5wo
Te9rxtb0VHCUBYuiVKn87KRTdqyw015Kh5uDN7u8mXTt95Ku22cCBrETsq/jh7MWDg2d5sDXgqMC
DX6SeqRyT91pS6OAl7XxfjCn8kqhAmZ7xfuqUwjGCIzJKTZhLQCJ0aIso0e6zmMD8KSB4YKXkUHW
cLqzYzFcZzXtu5xgyTZYhGTb0Wd5Jd6agZjTnVHkvUXSAyrArSCip4dk+1M/GlO310Gy2K760pZa
l/dGQC2Tm4JzyOpJW14H2Bvzk5JazvNVG7jwDvej3oNS2Y6jZ3pQBa1ulje8JJ3v75pEpNRz9UZD
sdT/q2yW7PagzRc6H/ax5omnkt33y5/kn/8htYBv559oCsCkCGHSTOQxlaHurLvPP9M1WjFLgG6G
vGDhdzZagOxumOzN5opqCToukg+oLvspN09W4ew0u9s5qbH1vfi2HdW2b4hpTto+UPmGnMW/wC38
xcT9x/fm4hCy3ZVl9FewTGVMAqsvNfJt2128llkRw/N0+b9fgf/pi+BAWiuV2Lz+N1aGkw8zl95J
ovDS4cf/uVq5q71m9/1l/iNJ/itJ8g/C3P++st//bLrknzu0CAfoLNr/Jkr6+m/gWOAjeLr5vbrn
Lfw3UdJ3fnP1ANgNrCuW8f8caPjHpt5iU++skChn7etlg/BvqZD6Xxb1GOrASa/s6NVjazrffXV/
4tEEZkMxQeOXB8tP3mWRzuHQF82WWNAblrDHjtBBrY/iza+MN8wjFKt6y46Y1GlYPH+rNGEeLVkt
x74MKF/ncnwMxoIqi0XHDKWJOmJ30f1aaAbcNKlH3s7v9TNCffsBlUq/aibPc5aZ48YqpYpaP2Of
odUzIrt3zTGu3Ut2d4U/VDe1hH9B2U3JhlWIba+ZJlsFuzvpQxeJqbpbehNj1MB5mZfzETKEenDA
tG6oH/SgRtAmC+KhYCsyx3RMMB7YmvEgleXs+yF5dW3u4tioyj2ogfR2gHlxk7PLjXTMtvd4WLut
A6D2Hioa95XyZZxZV1k0rSzCdcjmTZ84R3kGW5PcdHY7/57VQQKvxFahFfBEbnEx751e6tzNO2+P
PtUzCpfzFpDO15DP1s4ezXiDbmSvCeJPE6xapA2UDwcFDQIZ9rqcjou9Qu1CZQsYT7z6Wol+N5QL
OxbtLl7N56Mm5kNrBRKTeWNcA1q/34bJaV+dKd9VgXxQxlBdC0yT56z0O7o7fa8oImTAW+wSidya
JA6YRkXxhpiVPRSsY45Wr3G5sWoc6y2y6yORt/iRTJVzYxeL8kKtckDdDq4grNZml64p5VscAOta
wyYvc2UVNXrFCJ6j8YANYXXY9jw+j8Cs/AdP0nBZQxJimjSpFhgsv333shwnXu5N5UsNXPnGKTEx
62ZpUFKu8CgjK0NMSvS2Q4kz/Q30fIMXLzBHDNQju9vebGum5hhDsWpwKdNhNIpQ+LXHjpDCGVpF
GhIeOom+mwWFfmdyBfnwzAnqxBwneJXNLH75rrBB+622c5U1j3BtjQvlhKCAVqg4uKj8o23ZuoWB
4eFPzgragatcm7cD9v77BWD6ZRy4Y7LYtGcqIvBSKgl01xrkypdC99t0AjqH0K2SctVF/70b4cDg
DhnzKOkHXtWu4c+kgER4AbUIO9dqnYRR+TShUMH05J9Evl3GjV4ny72Z8NZ0RuLmBxq1+eFhTi9X
D5AANe/NepNxwSf1jeNy8UFK2LZ+yT9oDJjFtt8e7WUiXTQPFdwZPn/7zOUxA7KAqGw8AzGkqQXD
eWvU2YWLWP9F6c+0N9DafzozhJR4bMDFrt9ZHuetv5tGg38eFKv3kCi0j8xhJOcqkvoP9sx70F79
2GWV2qfaqcenPreR/Vymkyhbf/DBqpbrMjrDM49w/mC5WgSdiUNkg+Fi2eqMtHvmkfzj+52WOwNf
TSUBNlH4M87NtzcdymZzJ5GG8X0kOWEhJcoXO5Dmq6y1rMG7bnsPnZPYxwaPxdWYGRa7js5UMxkB
tcMk4tTD9M5VQfFbM4nw7kpZDV+Dl2aXWm/cO5xByw299OZ1VVuuUmjVNuUdyU41cOKPwGR8lA4O
c6x4pI60yecressKUOFS99goMe2VmzePIhEBzZlDgAuA31YlcaZn3AD9qC/WhaYxTH7U5Lxyi2c7
Z0P0lIyTiUdCRMbIwpHrH6YqRGul+J/Mx+KIiSgyBeobHaiXvk7h6i33o9Y/TYLhcXKaj5oalYRQ
VBT4t+Yw3ukyuU/X1Xs5pIcq7345MrgJrKYMBy2gG8m7zr21Q5HZU6/8knQ9vG599s+uu06jsbMt
SOaa7dJEvrmuXXiOsZ6xmnFvIGZfbSb43siNCyVhpEsMn7JBLJqR4YGCyarlgklkI2c6w5GurdqL
7w0mxztjZnfgNwk7Ium7KfkvGFJ+MNlbqhar0GtFd2CN1UaDX4h0o9F0UuN5moT5U9TQGykybm9y
Nfbb2qyMo2U6P1DQD7XvPPCYJG80jdadCT36XUvMt17zfywj06+qqZQqJxxG1SpXapW1IKwqxnmq
W6aohaL0OFq2HUFHUF9IVxGZmJru3LUCZpgf63xsT4FX7K18SCOH6+e+yVwUEUFfci6X4ly4xrO7
cB/wAnEs5qU6EgK0DqCWoEoQV9rONVq2HoynNqEzFT/0u8AFvJYFg7MqdO/U8cbfY6XS8a/G77pR
CaipIhyN5Rd3jmub+d7PzPSygw2s78NztWYD1+tpMPr8c1k0a8tnnS2OJagSGuEx00synGjPQoCd
lOI8sKbykOTKwgXO5Enj8cYM4kdR9V/pMsSo6P5yIUEm262VTBkhD4wWC6pjN27VZNbnxnAvJWf+
A28rfMdubOAAWOwtPU01nuVxbYCti3Zj90CCesNsf/awl7YgE44UTXBzattPeJ/mRiDUbcgtvekx
NAa94WkfmMLZkxD/QRjgXaQsrhYRP0ujxcFlFVPoWLT4NLaj3Xa28xxzuYlcPoZhjnHljfqrnkgK
PHEK2c8QQUD0BwXrSs+Zrp6TGc/FItYZgnxm1NvucpIDUZ5wMmN/jsC7P2NNADDW29VPIN35z4Gk
Nrkv7vngTWLI+tq045kud0XP300qio3UoF+oXmge2F3PRMIFk5XFPke2nX9pp1Z+1PpSfkjTsC7u
YDdUWFRcWnHeb0o+RZzkQzZ6UVo7YN6Lyg9Cd86T80SHk3HCumHMYdorGDIBXhIfz6HORyJ5oZhB
u3ONzo8Ky5wFv8SGGF2X4I0p8vHsOZ3NO6bGkdGg2yEWKsljcB6bSwP95sSyNt7Gwlm7zET8Ao5q
uNLZkOVb1WNWCoeg1i5D4jtHJoVib+iNwO2Fm52Cz8bept38q4aAcWdUyfAsu0weaEoUr64YGrBQ
S73BeEiA0JNQBuw2i2grPxYVU1g1TdpJbzjAWsMUhyZ2+qjthjzK0Y92TWb4fFuloJai/N3DKxX2
XSyRgjX9tovrjox90+2FyYZhlAVr3La7xf4JV1TbJya6SOmr97zrmnaT11OJuC66SBmFAYC9L3eV
rQ9R0xX2XjXqlvwTcXhaDkJzjNc6r366VwUzXsE1micXZd44XcpHkffsqqxCe4dMcSFA1f+UHvYk
gQNmF7QuZtUyholvCZKYtOVtRrac5CotMyQleeUJ2tzV3sxuORgXZELpvFjtvJ/lnGx6i1oI1/Iu
c2aCkfH9fL/Uxh74Zx+VBsy3qUl+inkhS8AjDwGr3E5ZPuKlm+dTNhk9YZI+PkoRn7NEXJEnnA2l
rjllGy5qZO6nwbDJtbQwtq6lrgGbhMq48UaWEdM2X63+7b7AL5k8WG4uNnyE1+AdP/AawyMITSYv
+c7nFX+E9YDIkdxjz0CKz/lO9OXf6T6MPNNm/s78OVxOCAAO32nA6jsZ2H+nBNM/IoPud36Qp+Hr
zN4M0/20Q+DF3WmP8jFeg4fGGkEkqdvs8smxbwfyiUJZ2Va17hW5RKMynRBjusYZS4Itd2KNOPZr
2DFfY49Gbwy3co1CZmQiO1TGrXSISfoswjeoDfbJ/k5R4im7D9ZgpVwjlskatmSBYW0W8pesQuNQ
wL/4lGs4M/vOaVJxeKo0optJrutRIXoWyVOGJXCNeLZr2HMe7Gyv+8CA1iCoQyKUTgOJxyr/8kzU
fVtU3QUMY1Q29o8U2MwGamNwWpI1ZZp/J05pmRp+1205fHmFg+9ujaaafm8frDWuCkboUZ/GQMdY
MCnSrNNQHNV3xlUpeznbWac9UIalXktiKbd9Wv3gAspKoTEFWVk5ADyC9thQ9p7+EGukdtBE9eV9
52yxcQ+042Hb69YYLuOLuzVZ812p21URM9DVWmO7sGhI8BprmBfhQmy8NeBLV418cdfQr2jBrqjv
JLBYhvKuqIVHF+YaFa5Fj6GSlcK8o6SMR4FOqBZCUOY3zAFl4H/538njKXGMa7bGkQFMgSpdI8rq
O608fSeX3e8UM2vl+qlm6N86hvJv4mZodj0HI2WI6pittQyt5JLVZKq4ZMko32ncgUUiPAuvcp3C
UiLb0YQmX/xOJAwleUMDSVhnwfAEIaCjeoIdao3MHTI9DwpzQUYMs9hYPQ6VTvTTr7SvqoNnDdmh
E9D/WPH8LGbabfqFvctk9Wd0zIp7VudfXWos7pN0aK9WHqgNNZlMtzkbJSdp/G0XW9kmD3yKJ9Ps
mYtfvPHwP+y0vPKPJRnU7g8Q639Un3+h+hAgxDr2v4s+m5/lp/zsfv7ZivbH3/mb6OPBo8DxbOm4
wGDZobf8Q/ThP3F8uEj1ASBud80o/j2+GPzmk6CAYmHZq1dsZd+xvVg71S3QF7YBMMF1HQoCIE/8
OyKQEaxpjD9DaAO0FtZX6FLANuD//4WDUuSMroYKxGFxl/SNpFzdbtzWYhk4E42NcFRWw67l1sAE
pmS0Luvhb3ATiPWW8zaj0wSogfEWs0pKw7pmy0Yzn/w5D662IqryiPJLbhO4BGoI1xRCYgrTaJ+w
yFLt6oRgHEtLCqnmwF1CXsTsEAMWe8wHqE1gsNWl5GpH6mkEfobtNLYjmqu6kwuyEq4Vs5zmlWk4
pFyzAEt3N7MgZu1WFvTi2cn3km8OOGbntkdPYd5sYD1ckWfY3fTZR+4J7S0rKyBKgnUru556P+Iv
o7kV3lsLzIAtGqSbau4fJj/5crSCH5LNSWik5gPAmmIXBOwLqGTSaACth72eFL/azsK4ogcDFaQ6
/D+nJXVniqHdsUzgSTSZD641I9J6wy1HBpBLE1KW4T/F03hLkKUO07l+5BNvnGdIRhiK64lzhwcC
NTbnZqnOtt++xTiaGVaGmcB48gEl7ugKitfRlB6KpfgQqD5YtxuML5p6L0oYXy1mJAS1dtyNOrtT
HD4Rb8Gn2WK488j7FbG7fgsidB3+6UBgj/OUp98xy2h0TRckpfugfGkgEr5QlgjYa8XXcWuydq5B
sBuCHy5DvfrVq/YeLrU6xLZ2Gqjl+Wxso3vCLjiFaUaBJwaokgJGs71nQjxg7aLL0xnE3TKl3Ztd
+E9uj2GgmQF2GFTwnt248ChlCgxQqC7HX+k/l6rVqPyx5DNbluRkV01PpihZ2RxBPP7QdNHVLHx1
62Hg0XNBRUsNBpaUDWaTCrWFOv9oaTiNLZpXaO9srCtWQpJ0fgzyw2KBEfPJ4aYwZXBWqZ2cqpkL
OgjeFvxuaxgY9haOenRaBrHJbS6mMY83SYKiuVs9Ws8efOUbu3L1D5sffNNDFImqLDczbmrUZu4M
n/7pEEuafiO5aAzHBrw6Udt8WH5ptaO0PaGDJv61BJ68Lc2OIERSw1srvcxidVomrIRy4/E/8n49
ZMPyLw56BPm13u9/P+mP9Vf2+Zeg+h9/5+/yvv3bmqKzPKoAuL15HOd/V/f93xjigsC1AJZyxv7p
pLeN3zx6IDkyPQZdl2De/z/pvd88/sP61ziZeRj8W0l19kB/Oenh63DGr4K/hXHW/CtJaDT7NFPp
rB1jS80bS5Tlp5PHXPlGwGmEOrisTwRtFxX1ozbBm05MA4hIV90qN6Y71TBqYhh6Nn15OG/vFGrW
R6DnfAYS2kcZYkaNGFsTD8znqv6onNg6snow77jvuQjzU2fdot36CiZdxYjJUeKiMfqPhE7LK0XA
050+fVZN13GFTYuXAbngnYrBFfA8lTUdbHo7f/IZJTeb9dqiuEIlyOZzsHbQW4OXFFu4GwWZsYI9
utVVa3OA2cUMsySBC7yIqBtlMN6uawB6nZERsJN0dNVsywY6WdRZQc4n3s+tvQhSzCf04aRnCyna
31qLl6F216VrReQ7mh9t31I3NOjqMhJWj0arpHM46OUPLEz1uz1kThnxyFhu8NOIh6XNqclLiWNw
ADRhxe18GoEfuqOpMyf68qKcubl3LJJwSFw8xMKlkt4e6kZx8S0APnZpgQAlb7D0tFZ5csQsXIzR
VI9d6NrLXpqZd48oGNBTYVU/SA4ZnC0VITPHwG7Bk/2RCHBPB3zfU3K/WOSYQZeHtYYVyRnAWkOw
Gm98Wrbjo+oNcZrgcjNzJ06Q4HEQ3tnXK5OchLaA0Kja8XGkZDbMR0NSUFFMxhsV4PHboOH7aaUj
tkAKtLNUcF2GmltQg+gTAZZXZxjd42sJ5kRETlB1Zxl34gYHzfQLOLrKsb0MWrHpqUC5m+y63La4
VfNNLQM8QLD7p9tSmzsjDNyx+BTr5iPpZ3QgqINodmYu+488L0uoO7EQLSWcVsLsQUXvgcEou6Zt
Yb2a1Jo+BMrhq9E70D0a4Gd2o0jtG4PWR51FQpMeNGvg5rKgDpjDJA4QBaZrklbEkKAivGt10hEh
rIKfOE29bufq+AupKoMev2VLFVwDACMSy1/SaG95Yrn3qZ0BpJ98tlwkxFTxw24bK1gZtcU20cEp
Bg4ONVEZ9RO/xwIdq0/vvTnvb3vq0U8emmOwNRqJ9Tqu4Qe4S1JteLs2T74ldJIxFEpsNMF/N5rE
vhWTPdLI3FTtJWcPnPWhrPiUv821kUMsKxNad3h5ZhwQqJRTpvP/GjKdA1DsYFpyF69nMOvluda/
SdkmqyDonRIHdTwpPb4ucrKWU+qk+UFI997w82LT2p5iX5Rhy7a74HEu+fRse/jG7wBfFp5a8VRu
vJFIQFS0ZoPNtnceR3KobbhQUBmt0wLyVqZf7LaazwN++70tcifsmx6dllFnSxiq2Pp0fkYdn5dr
3GPipkFuKp/nWFrwrsZBz+/pmlZlsLFbNeqPturZvZSh59YOz2mhHeTYvdhlKh+0wg9AYHXkf61u
Ok1J7d427OkJjBUIBnNJy/VYLQ9kxczjmJcCELGT4CzuywfZWfimJTE/u8jZXlpBuQVrCwLfDcIq
xsNkiPQC2TccAWrSwZedp/yEP4Z/ydLEfvRisQ0y893Fi0IgVjvlOWAkAcAHJB7YV1eT0YzQ/5IS
dTnGRAcig5dlB/6uv8t0+z0Y22TDIhOXIEC4WzLAMSY8Tutl1F9rYyBQnSA2/Rd7Z7KdtZK16Vup
VXP9S1JICmlQk693i22MDzDRMhjUd6E2dPX1BOZUYpNl8sxzkmcBTquL2LGbtyn0k+qni2HlHcaD
fZFjk623DoxAhMDSD4uga13mzUMoIU5WYfuV3l+5p8l0Z2sV0XUoHxKh3gVznt8MXf2RxhGoKH2B
RKR9qOzm/ZSJalMtctjOtgZROxfTzq1LqKhgmsOTTGliAJPFT2HqO2Z4aXCFH2l/rtA0G/IY1Yoo
nI6umCCZ9ChdbjzctKhpi/RcJdLLeLx2/QR2qL+Kltk7BKgluSyji4CvfWknygXFO9Z39tI1Rwsd
oaNHr3U7gK25Rlkuj1k/8LqQ9W9vO62jOxA25O0gcMtbFKbndzCWn2SDS1GRJc7FWkXdHhdHwO6t
vyC+giILcnshy+9eUurvfMdHpW3x3f2a9bgQBom+Lhf6eHpy1Ie1QJjO8gHJulF2i8JWx5YowDZP
U39dqaLagqSu3k9lHN/CVvM2ntGG8hsbcT8+UxTb865wRfpYLvFj2tvdrdvK+cZdouUiU724CxDn
ej/OjeGtB+foHdV0VFg6uWX/5fdpZ5SfSMXzJUYgnDt1C/l1Xqb+DtIkLrEMsA8C7/rDiF7d96CP
6+t13vfjOl7Og0fppMbeuybGWJf5kEkga2nV3TGILXcdnhoXAkoowtZue4yWPv3qlSV7C2w9Is/F
eMciLK+jxi7hsxv8Ux3IfRasPfQh+0bSLt8Nbq7OqlWImzIU0c4adfvOn53P/qQC4OdW8b4y5D5/
kO5fAwi8Q4/dh8PKSAs6haCTt9DB6gPURUVDRARHp1UwFCbs+fx+1sx1suUsGDgil2INziz0U53d
f/Pk/yRPFsI26ev/P0++/4a2f99/e9ES+fn/+jtTdv4HGZff5SuAtzi+kAFi/1Ig3U/n5e+GCMoW
oYNABRAZzwHPBrrr74aIh6w/8RTcA3ZHpMreP2mIePJ1QwToIIKUEQ0RASQHYaeXODKplbBwr6zP
rKnoaXdP2Nbm0z5GbAkj3AoO2oY+jztjx6v1tsLZmXVpKmWcSE9dha9p7Md9tSehd677zgvul8Iu
9kFmM+ZIgh4UtBL7KgmWjxW8UkNG9cVjlNTOmdva5RZZvHkLtxiYaSyfxrod0A7ok6PPyGoXMN7c
MltOtys6T0c9IYVnmkgNw+alB9GGyERZh+wS8vKPXtthJoL9xdm4JOCWs+Aw9hK2EFsIEnEGd1jF
4anWWYkKHBzqzdR7sHupH5qPqTN2RzAR63mPXQCh0g2CL3EoW9LiCkTLplJJctUoDfoSO5HLJV/t
u3EGQV2X8pbhf3SFCXwHoj9JPpdk9GAEi+m0yhGJv6xDjjm31RGhm/o0Z962UELfNm0Dm6B260Ng
oRqwjpPDKCQ6T+oC3PdS3FjkTojUwcUA1BPuy6RvSD07/72yRU3WhViiDQf9MsqX/gx/FxQYrNU5
94rUOkfiocW4pqM1beXrrs/t5qoLsCrd44sOdnMGJYSIl7d3HV9eJnShjl7rYKKLIA6/tV9v28nt
r/BrjzfF6N4HS7V81cUY7PsZll4sC7QDMPABhh2UB7AWy45UWN+hXSm/jIhTtbX+bONUQLQS+Wmc
Evco6FU8oNPP6CKPURnJgkJfjdrNrxK/omsWtgvGyEAy9pAapl1GknzqA6UOXUAbQduOu4fL6kJu
Q+xQcVR/CVEh/J5gC31Y7XoJt11cMclDyfbWI/svDdXpQwpa6UPIAOTRoo2GmwFEtSurKaaL0GIU
3cBVQtIgSlvaYMiHYU8Dd2stwvPYDup3wpmaq3J2PlBLtmhvCK87hWNT3GIcZp2HtUCBq1LRhYf/
+QL2ycsR1XCsSqIMMGYa5n2BMXVE8QC7fFzmc4abh7wmt92spGGH1GvDLTkaWGAA2NVJj2G+rQFT
JBvXG6Hzle5IhkVr3d3lHXVL7wDfWty1urEs/xT5HdYwY91dqcB9bErg8pcdoOn0gmrnryBT8g5h
WXCooWOd9dnoxe4RadW8oAMfzXX0lblIl+2TWK/v1mnpb2C1htVXikwqF68GzxwO4wfIDeJGhRB3
xn1ZyHsv7vN9pEZnDxE9Oofr6kLBjfsSFmUaMIZfrCqftxniWCdS5EJ9cMvZK4CM20U9ADgOZCPP
a3DdvbVDlAFCC4GS915N7XqIEadAdqxJYvsT8hTzwCTTSq47LSv5F6BYt4NZgF3QbY3ERvyUw+DH
T35lOGxjdOV4lre3R9Ak8JwKYBMVGTz6MqRkKLChfGgPUf5FWihJnkJETxskYaCrkOeOY7GbRuNo
H2OM7F0xw44eKt36jwWqzKwUG2rwmZMONmpd3bzc1IP0njSaPcXRRbOkPcFzk/BuLQbrG9RAEOmp
/YJLrmWiAhJGwEwiWclj4PFRrttzmx2JfVxxKGKDuIlgE+0quLGCuU9UN+9kqF10ZDTFmhguCvqH
9q5h1L5J5CKTvZ3WwbsFEs7B9yDs22jM5hvl8463ARSd+5Ku44UKrF6h8aE6MNgg4465J4IrRNjB
YGQR+37x452PogsiNqOQx9Fx02NNG+DYwNS6qd2SGhbcFwQ+v7lcqIAu4raVh4bsKUUjn2aCYVgj
ITNiYrAZ8sA9D6U6+hbtcvZqTvxKgmyvkkZYByio9ntZtqgnuP3qYLTgW4B36/paUobehZMMrgHY
TZ9o17gaME10odFv35SdcnbF4iXHQZHZA/sZS3tTwUz9ihv3F84ohofCCw6zjIFfUeCFG9fu7PcJ
VcJhAa30wfeS/tbzrJjDoS7PEMLv3zVDiDi9pe3zCdDyV2xR/BtIS7teBskZoTM+Vfyqj4V0sl0P
H/TThMlTsxlIB0/o6S0X9IzXK1QYABZ1CxXhrPPP+Ag65z79aTSVlwNyd0BY6J3k5K+p09IcggqV
63i9CeCW7lO41H1Ztx9WuCdnMMpBDwHhP6KF53e0XFEyW0GLbOeySd/hQI2IiaKMvcgEIR53T39H
Cx6nGa7/fkFtcuM68J1pFqU3rU7m7bSiKOLlUXIMeIBD2xcTWrGzlxIaV+8jCh2Ks9CP2kfkG4cr
R67Ot2l0G4zQkHuDvu+cgr4TUAC5nhs1ya6FuXPIs7bdq3oorwt77h6g2XRXoxrUje870SWQ3noL
PCi/BGqbHdG1ma6Lxl+3PhIuhtX2GThgdqm9NP0rbkb7Oo6diF/SB2QCFWTmMQS0gaU3LNUlrQb8
Dvzwxs/lcozcQD2GEqazMYYBmTrcqt5fqo1XhQF8xj66LYJ0vXDyovky90m3aZfK3he6sc9SO/kr
VjUpdQ1YpKwlXS5Li30GJzjc2I5FvyC293PadFcLspMXwuqz0pz+3W6xoD55Tko3YXGGD5YLz243
9kmPYjO+wJHFvLSfliDadr5N3RHBxwUb4w40OUIXHiAiMg6wRfZ9uIqQTa2mYddAqnt0DURw8cBV
baSdEwmUKiI0iCbGVPI9ogE/9H3p4iTpfR/oNrv9b37/n+T3Bn/+Vnq/xUxQPT690N54/v/8TO4d
GwsuozJHnzlwkFr9RXrDaLn6ATxJuu3PHe2/E3z64CQrAo0N5/8NQ/9O8APENxwXb07pUx0gCPuP
Enwz0Pxl4GnDv0NQn3IBHJ3PZPZVfm9XaWuTFFoXaC92ORw6agA9flRT5NXqPLcrg9WBVh1CeZLg
AzL/krZONe85+xjWwgpstNcycIrisBBXteUiQILC1ZAmdt5uQpC0/XEkJV7iY0G/AeEIH6YmskUr
fxuPpxjYbASH1ocYvyJJOlbwoC4dQpteC3q/0sLei74P5WwIk4t5AxaYhZhLvGwQWZ7sT26tYoBJ
waBa/T5nTOjAP/OSWd6G6TKm0bssw15oiDy2DfvMqrb+WBMPS5BG0PgkHsdg4f2mC9v/wgS+/Se7
xgFf+NauweuiLx5/BQk8/z/+3jNu9D8INgIEIDOwn6VnnmdHjnSZ99ssetdHIOMHfOBnTYxBnvBC
flx6OO/QcPpXTezzTz58klAwcfoxjvonW8YgHn7ZMuZ2HGoejyYJAE9E+rnQr9SqUE66qkbb+wY1
r83BbCNraO+oh61u2A1D7uqHHJej4dBrUVbbvte+/xW/3LamEc0ycw+t5eHdWlBogeKp6W/FKTuF
c/CDslHcQHbeawOsdBA/SJj3wKToMMER5ahXsQPAhieoI2WL/hS4f2v+kCIuoPYlFgQcOJ6mhYoA
xch5eKRUzjqE00AeRQr84ULJeKhRzAJWiPpiXFvbXz7kzXPk+F/1WN00GWrF/+d/Oy8DCmwcvLtd
h4maE6B7iezAy7cDXdVphn71v7X9PEXsuESmIIRR6scAAplHsJHbxcnq6rsRiNL3Hgbk3JqL2CDP
A28mWT68fUvub7cEJJUi1YMOFxCJf1iy/8Lskbm7MA5XyZODqEdx1UKyL85Xb+xgDKRg+WBdEOZS
OCvwqMNxU+QY7CA/aLdN8dgsvYZFIUcIjedYFvR2ul/jZB13K+ByINQD1q74XihMppZ9sBZdcL2u
hcOPESF7EjQ76UdYKm8/FIPQXxchKBizBgnGNslSwF54+ZrjtFgyCxjDNxsmffDerzOruUPfs1lv
3r7QS1oU5Cw2je959EVR3QYUY17uLy9PoyQfgYaMnxjyAsPdt2VceCid2OzwRcjcewfT2GcYrwO/
hBzTolY63eEnUOff374T+mqvHllQuwnaXUyVoWqZV/LLnTgi0Xa05MHT1IcKsSjcdZnNKMR1pDjH
dWL1gz+8ZLNW/3U4mmcnmGCIhLEN4CJC0ssruhQBBS5s7tPiJH3mfXMxFEnTs7gFpX2egA3msSGQ
jqgSvP2or4xgzJUjkgWcXJAXJcq9dn/KkdAu5smtnhj7+fQKsiiuP5TuwGbeMtqF6vxuidbYBv+S
ka3aSJumxfqQ97IFqYPIUrwAos3jKrpFplIKpDAnU6cVE2g6fRpnUKbq9PZN/7YkyXBCAq9JSiRr
5tVKwdHMkk0pxddy7AxlpdMtTUMGfGus5z98md+vxcJH6h4NspDSKXiVtghV9irCu/MrkmBjuG5y
WYbTXexaGUvi7cf6bRH4IcL48EhZCbbzIx98sezAwLsLuklfa/y4ebnKior8++Roy//YNFXQiB2q
3M0Q/+G6zu/PaNBogBNIBT1c2F9F0tgyMrIoJ33BatRx1y3aARnaBzJsU2VvHQEAtjyxTQr5qNMy
WZjAKKUiXCWtxZ3us2qdFdipkPrnC/1UkjtRB0yp/Ep7f7YrC19vT25QUraYLNI0q18vWbK6VlVY
on1Jwwx6JcABPaw3fbAovs+qcSuZjlHf9sG1JeKM9dHXnsdhUAdaEywjtDv0V75llTOCgdtsjj+v
WOfN5HjIjz4HYC9uiS6M45LgY8/ElsRvqmTBR4eWgpbJplb0BoYdiq0TXyStYhOirR63ZL1z9QLL
DmLesHxatUkhNqglx7wLN6c3223sNQu6/OB6nc+K7dI5W9Aj9vLqWzBD3wJBMMT9ipt1HPkfa6bX
64NC05F7RMUjohnm0N/4WPRNm9f7MWBY+rAOQk73k+qC6a7P+Zt5Q83LntikOGbzzYBgMR7foKeb
FUCwRWsRVOKQ34GNJ1aoKcNAmjg1I985d/nJwMlifiQLZF/Bo5yWFC3IWVYcZho9U0Jwr7w80fs8
ibi0lc0RP47Lkrmaleg2uBYRLedPHen4BCZt6rKr0oO3cmTCvtQXaWfp8XxcMAvFjjKMzV6mXeLo
ixDqOoelDeya/3RhTGfzhNzBgHtt49VtUZx+PgCorZRHrSWKffnOpsTghfp2zfJDUdcEzBJ1BLhh
QBgD/pPJVlf4HLRFrv7+HV3bWWovstjPUuhTYTODa0lXIxQ9ikxzaVRaCcRaNDxT8vxWaaPOvDkf
WB8/MM9DWpzXpRpxSnDSyFxRWJKsTbcx3gSbVsuOxyN0meXSRAOnliiamkVDBzqv7urBh/FyyAWz
mmDT0opkT011FLFqEhedBo2CFkIM3wUNjVgehmQoQnFuIVpD36laJt5hg5ci1/eJ9078PiwBs+Y7
Ov+oi53FQT2hZpCstcndcnCE/JsOyBZ5iBx+xHLViXiC6QpU03x3iJlEgb1aBY5nYHnQTAmRweg8
/pQAfBDTOVRAj9/SaGaFw27MRcifsC2QRGPlNgO3pHl6/nIec3MvXoTOZ7ANpGQL6rArWCliRUfy
RNEluL28ykKTt1Fu4R3bU876H+kV84dtBBSI28q9yLxj2Me8QdrYI69zDaVZcyUpIDL7w+LxfhJk
gFmiJrWe7tuw5n87B2GOAXfngdhA6riSZYAVZJ9rpVcTPNKCRCzvhDJbGg4jv1QxGONLMN0d+c/Q
OmK6R2qO6g6Ih2x7fZoWu8+rqwlLe34h5sSK+wN7P5pVLbJMDbu2iFbHPy1hCWVzl9v3Uepn0bQD
ICxNZEpLGi4gWbCFKqIEpaSBibdn71jb+K4nk92uN77WC8s/7PHm8/ZRBcWj5uibm+A68EE2At/C
mIjOahDnInvXYGAfI0mYj+YLwxZgaoGyI7JK1lnW26aqXRREoH67lH1vzRcFvhncY2z1fJsOldvG
x4jVqXmYOs510ryPMBvy6uvGwFPCbYC7wQz7WTWEm/0gkhwESdKOTQS0hrx9mTaxG8BmjJENNpLz
YUGYDb6utFnp1hJsNc/MxAhCU7pR6ZKmyWXRMCSR18NC74zFk+UmpMgBnGZ7QLLerEt7XCCFoRmZ
dUVy0UAR4t86l365A5hLECrhRvGWdlXB96g3i205Y3fdzwFCdQw8upGvVDtMPNM9mN6Z3xV1tomC
Iy+flWtnbTxMB3toZ36SEgaqxGZQsYlLhQ0c9TYacpMRpt6YEJ5abwEvcjGkFtFh4i2yFxx36FlQ
U8d4rTnj63favwh1wkoPSyBIyQVTnJFLew66MhAMsdjirNctE35EA30kpWktlOaQHZDQZDkuAbJx
Foey0sQHHSLV9m4BJYKmPSHKhzTbIfac7sNGNejsV67JVmzsmPTXKkTi6+pnHULUNy9nBv/cRMdC
EVWjPZbP0OGA2SAkQi8FPZxdF891vPfsMUaNplt4eNRoSqI9JHnJHSMTCVX+0FSpZGPnqOWweMJs
NG/w57KuMig7BBmvESzcNVtM4hw0lgn3vRVyaDm0u3nHQqpIzQBbEH1mf2IfzM71wphRLpx7R7bX
bkbY3QHOQvNsQ1tYB5+xnynVe7ta0Bpz3YhRoFLoy5zj3jMVh6CZxvZrW3HGXKiksjyjuwPWsKnb
rPuMuRyCUoWsm/IJ5cxVMZtCmehxBkKB/Ds6o1h54RCP9ZXw5xZJO6S2fDDXwIF6YMazH07Xqktj
GvAwRirnUpQcq/s4HCaQZHwjRZBfwg6cG1Y4CmBQshSTSVJXNSMY40ldutGmBdQ3fIpcZ/TwZhm0
l+BZxHgKo5/S1THM3ojnB0mp42Q4G1JOsnIrEbtf112UlautjMw33l8LmwPJUCztZ9t22sOEhBim
jSRo632SYzXGwRcM8rzHZAwZO29wna12iHCIpyUD/E6rcdEDAy7rKlpUZYJAqRjwILfn9QJkvG0f
nRns/SFuF6ceNoMs1wzRb+FbNy3umN6HsYcA0KA0K8EX7oGhLMs9wuBiuLL6obbuGIb168NQs6o3
vgoC0DoS0BdExCGQyqic+cm6bOxJtsEuWiD7HuMMkQZ0FrywajZR0RjBRqnWvgu/OFUe1iiSts20
7HDO0R2ukL4YsbzBvFkyrOn9wT4Ocd35tMYL2wf0GldWEVwzP7KK4ogCIWlt+g1JTPiCzrYJGS7D
0fVxAw72gRgEkz7l8jA5OgA/sm8YonHg3DGNaxpAfQ2K/0YeCEym/2HWftt6uzaeVTyRT8FHKE56
kj7ZGLAiNowCcM76Rx8NV7ujEjgwcaxEBBI2dxea9BElpIntkHqBiXAVZBRCSWYxBULPX5dzwmBO
9O0cXqwwoUhJAR5MHD04K+acMkPtJ+561IjKDsiS+o3J/oK+MJWDhG3C3WpvwjX8OKKCGXxE37Xm
Vpz2hzk2AHp6De3Y+YRJv+/J7EPUEFv3iIgJWfBsk7tZ20jPLbEsD8ECzzgpol7IGQ6a0N5jaB6s
4oTeSklKhASsIKagDWfzoOQl8H7hYldYI0AyLV3O6Jn5OKkJU/OBF4Smkjk5Qwaa3KlKUsm1R6Za
zfp+8vyOf2viCE0p6s0GLCJqXA1kkmMf5SZOFh7+2OXWzR18nnd13GIR9Qiw1eSrQBeJNvDsVfBl
nru6OQRuLuvLpAF06hywije5VN1Kk7LAxTTvaGjqYHC+jxa4OLjxpWN0UDgP6RtsZBujuokohPJ5
/cRwbVKkH+2eoK/MKfXzBPOchveIAb3pWATRbO7eEQBRLZwbmIQ1Rw16lt4e6v0kriHnCncw9lBB
i9Pfb2Lt2EKbsRUrGamsU35jgyVi5UHkrzWKfSREZikymGK5+dUS+x9L5dB7ev6MHJiO80D5Nw73
YRcz/D2IvHb4RmM/SQeHzKSY5vRmnXM7jj5NhfTz4pRCma3mM490dLpfpWuyWPTeTPNJqXHK0rMW
pwh+lz3gx4r+J2hvDsUw6FgsFf06Z9liA67ksPMKRsfXzAFNNj/hYK/8k90m/RTerAP23BlEE2lz
P3r1zD4QQtk86gSEeLovwcawRbqqMw2vOu/4gXjyTKLmlJTGWQcLst5gxYm4GKRjWZJnJ8+nazpN
oIAxeJ1JVMECtmSBAaQk8s0hMOsRg7GczBohD0rteAVkp7f8vflpshK13sxlKDkunZT7crdpKk1q
iKJHYpJ50Zq7fd4exQB59b4EHMhHVSCThupSQOJPPk/hnGTq5DuyQGClQoaOZZppcgIY0SjT8MHL
2o3qq2p2EuZwSYnHzHjOL6gESe3caL4t1ICKa0Hv5xHsdsIBN++BUuXYR8GBvsNXJVOPkxoNILQv
xnYguKDVIy692RkQg4l9l3VW2a4pAvPWp2LDPMx8kN6LSC8pPPnOg/ZXRo2zS/0Eq04v03FxRVc8
TqmDoDUg1h+ZT5/YE7lG34SKp0U7oiAx+FkRh2sN7eawJIlN9VUnneBPCTWL2mvLspavAqrTemOj
dmpvRdqmlCPQj5IeFAQMuPE+WEuB7oo1O7x/nDRN0S2D0GRhaoFLz2QyUiaRT4BxT/dxHyd8taGi
oYvkHK7wEUomk4+DJryRBrdSkhBiwOp01LxnsJDxfzf1A8sp8Lk8rT2EDfi1LTE5OKGFuGBbChWc
pX8CD4xzqi6AoH593noQ1k1qVVpVhAi1huuNhcsAwtQsjHo2bTErFtosSWmHc/3O9pal7nghq6m4
fTjHvMjZkWaLUy0n7VWAKS3Jq4bgfYzTehlvg0Wu/Vk4Lk55CnuXmoKDzfLID8QyTIROtO0afk3k
DYpYlXe1yUTd2iWKb0HTmKpxKZKCXdrlk0OQIuEfAygmM9F5HyWTqQKfC4sSQgI33az4kiGCDl8e
oMgQrlS83gTKXe8okmxW/5zWNZ8UU0Rz6yPaRNBJAKjAR94zkveKK9nSHOEHV82KQrrXBKyBz4hd
IpbTEN/AV4APZzKQIljwKJrFVOj6OXKApDOJbuUUZlW+3Vv7Nz2jkFZnJBjoGMbPq5YhoKtwjqNy
/rLEg6kzp9QqU+TqwByV0aYHLcAnffuSr7tqtKlCylO4Sh4C8yROL3u6uq3r0B6C4YsfQCb8Xj4v
jRLMG0fXP70U0mXkuMIMjBhNvWpSumnSrhPdiS+ZF5v4hPCsQH1lIVizDt6+1o9u4K+9aoc2tXSE
7zIAxe349dylt425ISbYXxZRjRQyY1q5rEQfCA7bEN4SmLP9GjQEjbH2fAyux6nswnLbDi51N10I
M9mIKHlN7HmOzD9nH7VKTIlQS7/nTIDuP/Ont2//t6+CngN6gBH4OspxUK0vv8qioG8ysfUfB3Sn
uQ8OKFMWcrhSQr19qd/WHIpy4GIxkmeM7oWvW8ekUZmLoFv7GKWwJvQp1mE+PzirNFskiBOwF394
uNcjFJzcHWC8LiqMNKvd11Qz1fVIyjEreGy91MSoYWGz3YwZkf0ucSNzZsUR+T7JhObP30rA/uod
0a7yz95+9tevmakp4BqatIxJfQcdl5evea6HZUJLVXymJ0HpqNOULhVKYKacf/tKr9+y6zPnZxBr
S65Gc+xV87ogMQwFykafUbWRxdXQlqY0x/RTcMinrska377gSz4fAxrAErSdGfL6TPhoH718tCHH
ECGctfqsUP9iBSkAioQ5giJqeIi7dOWCIBoKUmkELN9PORnfvgHjGfhiWkSqBUDVRpMQHjuP7r68
A6pEIwgi68+oEWt005hlYT5F1yON8uNz2jKhEMuZF3ieid8/m+IWMCrKiyqAF5aezc8vp8phbdCv
8i3NLm48NKcwoCvDmiOhL+Zn3a8Bg2kk94uBaC1n3xyWE0pNKHSnsW2wd4LoRC4ySNSCvzozoqQA
uQpadHssXSG9nGWMlrEIbQrL5FY9ZuEEC0u5kioGk29znOMWTW4je2GOeJhALbclnxv0Pak9UbMo
XJM05eHwI+NzHZMsQ0vPiSR2n8y8/zDJFZ1Jd1om02RBsLo4f/v1/7bgpOciGwAvFETb70t7pLJI
LXvVn6Az4594SlrUiZpdtA4mA/jZsn77kma3/BpyTaiNfsxoQrAAv0mMMnPSQ9eH86coQVRA7Mcs
CoorxCrdwrq2e5s72HgwLCmiFic2SaGFKTF/+fZtvH5yIQLPJnKim2A4AT/G37/MReugQxDSHdJP
RUP78xxx7aH64Bazqy7dfviDrOrrRS5IzqSgUxSIkNmo/2qRA5BOEIzs+89T1+brA3g7syzyvDWZ
1dvP5b7a0vx29CDQigkkkzc4E6+yg2SGbVfWk/uhxigA1T3al0NySGijUulm+czpsGHgXfEfScOG
dbn4InogFfbB6rW0dWnBUPKY+X07A3qmjwAcngw7S6hQwLqzK9ImT01ba7FMGyAcgoZNOKEnzRrG
c56fNkLKPJxV+JxFENrNpAh8konXFAQQac8srGg06rKNDc/w7Zfw6n3zDkArQjJxmUBC63j9Dnw/
GaIqwPlirHJzMscNowrMNWa0+R/evpR4tZ7NNyV4wdaIAo5F8VozeG5aeqqOF9+HHtrfXGv0aZ0W
U2dS/ZFQTwh6nr1jlmcqwXrBqgkJwOc/YWZtOgTWbPNyfU+afia1YEukc6s+pqNgoa5lrZc9WxXn
QCTAixm5i5GCCf/vmPI4Q+iGsuTn4I9pkRkiWWXusndWvIf5t6mpzAdfoQf6H60fk3j53JqYHDqg
w87yU/Mlc4esBQ/GicDf7AaFBDCV0fMIjR3J2s2ZeXDuxTFdDrHRDlZzzR/O2/Dl55MStK100be1
EakVRpL55ZnQ8QSoWLXx13IS8mOucCfHxsb1TwHCEx49/nQ4IIgZXegwK2PoovA/KrcoH6YkMyjy
cKwZmiYCNSltuAfp0H2IqV/7m3LpscBJw8k9ZVF+WzFq+zq1Hp6xgbJSvWWWE7yb/Li5SLHsvOJE
Sleq9RQFHqvPxV8rc+TpHN9wyKRtGdnejq5h8QAUENWKAYIAXN1I3XicSsXBKy1xBRdo2g2t7vZO
xB0iCeadl6XLlCBvB9p5TTEzwhuwuQIHgFDSkiC1Oa6d7exEq+S9y/n82KaN42MmHqS0MEDGHt28
ru9nKcaHDJkJcFC2haWCRd/uUzFG/VNptep94EGxojc1nvBfzw+MCXSLsh7DZUTKoszajF41nZeY
Pw0zms8b0Ir5X2MYBHTNY1D7w6ya+zUfaYl5joVmiWV5W9Rfbr0BpVFXD/1nUM0eeGd/3KYL3pKF
7DPUbXV28fYm+21BkH4ZdBqZCvOg39L00ceGrPBU9YRQHPWcKNsCOSfhgAd7+0I/Ev5/nU4sPeop
12UeD1yUc+p1bbVgmebiCJ4+OXPDUhIuUXTTUAdkuwXz2jukH+O7rI8tGA+lH7U7MbVZeZwyH93X
cgANBYYteKdQ0T6vrU5+4BiCwku7bXioKs50d6irduMOjndrT3n9vRpFeFnTtbyd0DL+K8op39CW
dex2mxTJO1EZ3VFLVgFNjYIRlTNH9JtUpJ/yJhnosI/q4CS+/Wgvg9iu1FX/KEX48UZ+vH3SNPiy
CIO/3IwNrTfZ+Un9xF5ZbiJ8ESGilc2AQI6ygw9vv/+XwfT5YhKQokmxyJ9fZ4OIKZBWq6h+CmxZ
gc9a7HvE79x+U1XF1eSJkdo7aapbxrOy+EMu/AqEx8VNGkAaxAJAMsl9nRI4luwXL9TrE3ZdrLI0
E+lRNHl5WtblsXai8pPAkHQ3uglDj05ZwcmrtV/v3n4FvnmhL5agNGBNgwfBvpdj/FUR4BRxxfgg
lU8JPjfIttUKL14066MdmPl12E1etZxkNaDul1ltxbSnqU54WERXUxtMGPjJxHq34jF6EituQj62
tp+rjH76VhXWVaZreamFPtaiEvf0QMt3jcXq3AQMxvR2HRbGLnnTx1vZRvKOtHHClsnLvusgz66F
hFtT0Ck+ZQlKvZU/lAZr349fdJmO4JHd4taq0V1DUtKZD8IdEIESKkvukVpDxyntcILAvgFH2GnA
IZ75dZczCOFMfI/CJqLSqfb+cuhqY51ZGM+Lt1+ueXev361HdwEBdKpZ+VpEH7kOxmu2jJ+6zPOv
rU7kD0g/a41ef21je0It8YcrOi+Br6wqSZkF6tZA04HgvcaKA3UvVcXR+Q1/MO+cthkc8HjU1gWN
yvzAIGIg0vuJemqFXT5kyTJcYtBg31pTJA5vP/3vK5x7wYOS7NAJ8Hd/Hd2Ey6ytWObiGzh59A6i
Gc4WOAKj/w0hl6xdPq39iAhUbX3RU46hILwZzK3+cBv/5pWgOkZiJsBGelSfL0MKWJwehpEsv8WI
Bo+7oE/1TbCOaYmmeDAcbLDt9ygvjQeN1d++jeLlUxoqmGDIkjr3f7iZf7MkQpR2jL+CCzDuNSZ0
hcg2QQvNvyXSDt7jZNbf4Q1o7SStwwuOmPF6LLvhvPXq6qxchHM11ED6N7IclptMpiGQ13qeLjNr
FN/BZnf+Juyy4v3bd/lDQu3lwqVIIPi6UFrAUL+Gcaq58vsw4SMlC6MhOi5N/LlRK7rNXaV97GDc
gt5U1YDWH3y6vLs8RVY+BciMBsocRVtG1ZDgVBPIj+gVoFOaaYYftdWnV0WQ9adOiOU6GNPkLME7
1Ns0MnJnRAVhrdGbtivUB50QQeZqxXQJcWCE24rBuoKLgbEWTSjr8sdn1Agr4I7so8uWzORd2wZn
tcuKAT21gKiMxW9XovaKvRPTd8bVD/5EU4Essn8/uEt99n/ZO7PlyI0s2/5Lv0OGGfBr3dfsIuZg
MDhFksl8gTHJJOYZDjjw9b0QUnVJqduSdT9XqUymiYwBgLufc/ZeOy5ywFQtpkTCJxSDvhWu5+7e
EgmhdR4ST6LjCQfc9m4OvKpDtXI71kQ+EqlduyiifbOCzex7Y7vT3ch86dsq+Qoosv+0ryHF3UAc
4d/d0H/atjwXBafDI45mmqLypxt6IOcU2IMtf9D1bqIv7G4wZukkToHs9OFsugPB5mM3u/7ab53q
M4ZBD9sbt9u4g4PQPTsij066N2ZfzNaWTEjYBbZt2uY8DFHqrYB4ar+963/hGC9T/eM//u3to0hK
SEQUKe/9H1wTwmFB+u/hA/+vzdACvXV//pl/oAfEL66NiBZegE33DBjXf1G6hP0LD6dwXZNWIcp5
wUn2n/gBZtx07AlW4XxhLWyvf7iTLIxLxN6C6KJTAEPsf0TpQt79h11uaVHyfwonD8ajwzvlTfxe
fLsEE9m1KQnry32ieRwNfUfZg4gPY3UkBc3Zz1rFwLAax+nDqTrvBDYWkrBvGONjVUmd27bW3nK4
/7cZylUmlaF1cVPc/jS2XBgEne2d43zoHifwjRcG5vkuY4x6AElgfKvqEFt96qVH1F2bfuqa77TI
0j02CiyRtCAI7epkPb/rdYanlGwpWo0qM5/o8mVHUeblTehZ+U5aXcCEqLytCFNYiTws1rBJ46Mx
dOOhTIqiQLTrWmtTi7xjAWuW9Mdc3VVkEuzq3BenCQgw/EJXmQ+MUMUZqZt+a0wJWVjWBCh8qKxm
y3qb75hsR18NkcBa1rJ7Q7nyNjSNy6xPdD9c1ChlYwst0Kl5PzkuxAFEbXflG8jDVy2to3uBACUw
Ug/9j+3ACGvzRO6cXK8/xpEXsVr4lU3S5rsSl/uXxk7dJlDY2neQeNK96Pp+PdpjQQjrZFANmvKl
8pPwrpfQhXpwsu9M1KevZSuthyhDi25N6WLMTdUDYmhg16aZbJvQkTe6cpvvhSXVGvmjt62HfNh5
BE+g1lQqILUu3w8lFIoms+WHJqwgaR3UmIIUzjI62MtEXCYohjK9KtedE94WWb2kH2kHLOrZOmqq
+cVGmbtrmsH5jESKOxO+y00Po3yHVTw8kANW3DMZmM0tEVDZkVZyqG0sCsmbGpncczQl4tVr3GKT
JoTghrU7PtX42C7w4pPbmQLzdux0FHcSBOZL2NvdKZV6/mRXdr0rON0BN0PLs3dU7mE+WViVM2C1
2yiy5y16kRxqZ+1TqiUE2gVl3/isEtZwAnCt3wtIQEcKJzeE6Gzn71Kp+hy6br6flLRuXFruu6J2
k1fpe8nXhgxGBAW181Cg8NqreFJnZr3WjQmTfN/KKrqDr95dUuBJK1V0+aHQ5KEuQ5LfRen4Z7Op
zVcSOCEVYUg/JDR29nDFiEotMKtzro6du7web8yYUKyhatq9pvcbduH+jaEHCPxJgdE269B7a6zx
B87o4hBN9UCWAGOOCgnjlo6Ev5680ny27OwdEnwdrbTINl89v7xUg4WEsKsn0ktL/aGKXRcRYRxq
R0djcgVOg7zaeDAcYzWSTvPWhS3UqyhrUHVZlnhPQh/T+sAPRXOSf/ETvcBYhcBYpyF+k0ZcxBFQ
18GVubtGDVU8eVbXf+fYN7S4740LwpNDZI7uEeLYjiEiUgR3yZhO8jR7oCOdPzphvnensT+64Vwe
7Kyo1l0NEl+yWL6SRpwcPMjxcHrggHDwUgFJ5+lj3WElmwE1rayMAmKOSUBGCJB9RVWmvngU1A+1
CXuWC8pBoo3BcHG0q++1Vm3H3G1umpZx8EoI7NhpsQsJ1rllAprvmvxhwCD5VVv64JlrGQ+pHln7
Eu0tePSR3bzUh/bd6ifeCarWUVferjJGtRlyQ2qbGCrN1x5kQR0QBJsnwehNFVKHKbqbuyrbaeBo
k2AioH3VXl3N2DShH5J2LMuZY8xcSbJShBi+RLDuFm4rTYZ8MUoTlI3LOZfFfIPssLmFqa1vDLzV
6dVlHUXYypNckLbiIpwVix0715IXCOj6IaexvkEY34C2w76dL0busIrFg7OYu7urz3tm3P6QLNQ8
Dxc4koPuzV2M4QBF/Xu9cwtsSotxfFgs5CS+4iYnKt7dIOwQz4Jd4zwvtvN2MaAXONEZIrh7dsR5
RQrgcO4iOOUl575TlxL8S76wOBXSbu9BdzW3BMA3z1qY5OcuK+rNEmKJqxZT/GyCEGHwar3QKDP3
7mKeBzhTbWOVmj9mL5K3I32YN9ta/PbJYr3nCJl8QRSIHx8UPAaOxaQvF7s+AY14Yg0s/MZi5h8F
tv5hMfjrkq++jJ15PU19DWsOEIB/ZQKoBQ+AY2vkRjPGldCY0XFlJdK0yJK7MlH9Iomtv+Qy3CU4
GnDEgyDIFhhBPSB2DqYro0AuuAIHbsEC2D0bgFuOxA9m38bGzNYjfhZExGy3MBLVTbdgEJiSI8jM
mla8Zq6brIty1L/mYRvuWZmwU/XEVy1YhVmm2nuNOepYL9AFZOPdHU7B/OAsSAZ3gTPkcG6+MKIN
t8aCbiBuEIoDTCJtRXiHu7UQAp1baA/lgn3QrwQIulDQIPIFDKGs0VjPCywCeN+NU+omTYayTYiQ
RIuELHMxcOikSmSJ/sBAf/FUpml0kQ4HEdCOTT6tSkv0D4TT5Psq5pEOVE1qVDB3LSUm2QEN0EaI
uEMeExuhRu2UmMVmwrl8Pwxltu8d+eqQsEP+bIcH2gf5/j3r3VcsDm96KD/Rb776lXosjblYafNI
l9NqikNbetMGGe3FbKL6SFqEdxnqzHzOKGzf4TyrF7Qyr/5QQvJ4cxOMShkJKXwKglKarhlIs3dV
M7u3HLXKyA1mE+klTIOqtzfLwOOk4DOt5aikf9/0zYS5xg0/wdNY/j4fRi6cNqHq3GoDUSNhpe+I
WarnHebx6hauh1a91iygnL0W8bwKs22DUL44+lrWrpee+5pDXnZjRFN5lG3ivTqT03yjeRGl96BU
8hsvdoz2IoGMhrt8zvIZgFs3zsg5o95JP/Bxd9oXB42csyEjHDZ9pSVZhWgosdalphNEIapyO7jd
S+eRed2qKF/rE1eyj+wXpZnj3k1qbzUVvQTFVqqtyD2Ok3l8TFr7BOLaJ2lUq0jWjdhlNI+sN84i
X8o5zjcx/YcjO4j2FGtJdFJebqywU03nIY6ac8vVPM79CHI7Gd/sTEzHVrga6i0NSkdJNBraHI5b
1mzKAEZAe5MkByoi1E9EqoKHRXiOOw8vMIpJ19FxZtgPBYk5wHy06DDbCIxlSHRCW5jJsdeBP5NH
vtI9owZ76cI/jbzmm7RcFJrKmXZJMyRbnBRio0V6uGmTvNqMoV1Ta8Z4EXr0lyvsU/5e6gSb9LlZ
7Bw91D9tiZlgVWN3VGR4Mbr/wG7v+i8dKThe9y5twoKJjGnspVXLYDghpOJamvyriPubIg5Tq/2X
VdzLGyhi7D9V+fs67rcf+4dl3gALgfrHhZ8vLEolZqm/WuaxBkJittwFPWFSqP1Ww9mwJ3QTXy/T
COQGzuJy/62Gs51fKLUMSwDap4Fr8O7+77+/q/8T/ajuf23kdD/9/e8N4T9NpykFQdVdIRYMp5eg
xz9WcIsPBK2udB+KAaf8il1GPuDe7Ek9H5vu2+/K299e/Pcv9sfuBcZ/vLK0LRZOtA1L+efpdOQo
G4dubz/E2lS/lnZlXqZ+EM9Z0rd4HEy9fo10z34TAzaz/8VLM6PWfTqO7p+Gp5ixDdVXzEJAz/HS
ApvoZvFkqI0nXeNi+QpCVIesifCkcGYy9tcv/8fe3/LJaQEzZ1xiC7hwP89uTRCzpUhz6wF6P0NY
Hz8bQfCkJdfHpFpeDvaxf/rr1zT/2P387UW5VWxj6eR5P884SsoDGdXChNpZmpeSjZWSyZ2bLW1k
8bwMBU92Yi1TQEO23Q5MQf/h1ghgcs3le2jYena1F6Vq32lLYMhMCssbo42ONCcHBfjNUIeTsU7I
dETjDX0uZjJVWtbfjEt+1hks3x0pQcizzGU+9HMv2UfvLpUXmw+cerlXZG6T0cNgf+t3yrig0FyM
HE738dff3k+qsOsVgz4uXHqhvLBYrujvZBuEMnmpclpO5cZgXEptBoKElPVTTxWAbGNWj45dG2em
JQxup1j+z1J4rxcPHQf9Q0pZ7pufn5VBiDLD6Wc8uJqrHrEz1K+TkOo+Ghrjb0QjP00Ofnsteu60
63lBIjX/+FnDycMEpUvjwU6EetRqBEBbHKW0eEPL6j5UZttvcEyXp1OnF1J7Iw+LxpH9PoVV+DeX
+88rEoo03Wa1NDwHNsDSc/rdF2/aWoWzLNQfZM9ZZ2V7YV6dTFiWA/nOmfhfPCQL25Pnkj+YCP7U
wuIcrSeaRchF26HtLbFqzyuoX9WN9HTkKW1KqujQEcrXJNzlIp+NczEIRZ53amg4i9O5utHcQT3S
7VLRJqOxfuqzBX1NWs99HA/koZZTylPm+Gh/jyLWZb7963v1Ktf7Z9P+egHRMQBPMdgqgAX9NDqF
ZxJKfxLGAzGierOdvbbdX++baz5mC4SB8LCRdQ9TxqnwR7xrCSXjqpvIUsHaC8EuoTGX7+Zxztu1
Eerdh9/q6vGv3+f/ZxWEZYAuCTALvI+f5Rb43uUAnd94cGaPL+T6NRtI1l4NPTQuDe6Lv7mzlx30
d2M45KP0JtESo2AmhObPrndUq2aqZ1P3gOu4unH6wnnDDLP8yUrJEtAJP20tl7TQMAmR2jMohy1N
s1I8JXIh/1lQBT4s7FL3Ke7znY4w9TWxbBbO5Z64fkUdu4YbUOWJE74QQloN5uyaltgH01vMlSj+
/kak8Oso7/fXmxENumwP4SqqOqbJP920s58Jr0mm6KHip1ainmb8sZ5G1JOF6G1fDjGRCKk3pP3a
dLSclBsmB/FWxKAJg5zfzUFW1QLbjzls9KL3tsNSlO9jt5PGCqr6tMjxnXBeczIGqK/Ho/al1hBV
0TescEqOCDWdFeoaTsK6ib9uiVWTG7YANB1ZmlcBoS/lg4RkeON3RXoyC786MxHxYKxWrU5eHLOv
r8bkZXdGNeXvetYZ65xzQIyhcZ5xsaoh/picanKPPQ77ddKzfx8R8hRWwDS1vm90YPErFZMls5Rr
JEoyI8P+4nla/SzLPB3XVuh5T0Ig+AyaNMoIqTeHhpYWQ1BsSK6YWto2pv8duSthg8Dde7wF8Bho
WpKj2h7MZkpIoEAsciJilSDmegiPS7f+CZg8nG2PILn2QRuZ9Aepswy+m84Ed1sgLa/pbhV5u4Lo
F4drNMziOYol227GPeJNaMAxdU5ig+YH8iNHAzSiZHjx7irHeeuEzTGh9FltOAKyEDNxV49dMvFj
E9mBMXIg3FA+ui3YhEaak3dA11SyMxux4dermUrZq48WmK/p1rWq5oSB1De20YT3FPdtovyDjVbw
PGSiR2OM3S2IzFjf6UnaroVVLDY+YudbauiqqepXHJLzV6Pzk6M5+GqNQs38PpFPBrqz6XbM8MKt
SZrYN/h9gDeWlMjGreMPbhT1I6J66fGJR+Vax5CBWSzsy11Lu3NdGN5ABGhU6KRg0HAj8Aa/C9lK
Vf9hN7CzlZNE9UVz/CS7GXAoZyTwlrkoLt5ApUszNM6nylsXXkE5G2AG9XyXmEtHYKPGU2uOJg7U
zE40A0nbBIynWPuZIeqvWjy4Fm83S8t2PTVT4W81fTn8zI56rLKMb7rU8APoEUphVnuN9GMfJdSG
MWc9AU4KQfhrHVdsCns2hQmp3GrwBOuKqFgrEhy8HXwPgki2dtnwO/BQ1q8Comyyco0loTdJsVnp
OvlSI47VGthgx6XPhvq1TezoQXo+VPh5cu230BlHBD8659U+91mNitF5I51CPGM66j66mfBrV7os
PDbrkGcX5PK2cdMFDU+ov8ITxa8ntoc3R8WBQRdIzTMCd3+dEVt6Q6SpeWl0Z/mPqlyc+h4IasBy
FoZBbosiWhtGzz/Ba8pnghVqnE19iWqePbz/Wx9v+tuiSmYmTIglQ4nYSM9QbVliBKr7U9QU4iTA
DTyCHmFTTzRW1OsayRnOP4UOmygCjXYfopz+aMTyVS7M10vXSf7y+m4LKWGuWo1NwjTHTpIHnGS6
b65nkSx37fauLDKExdFgnOXMFRlsToaTORqXgcywjWmm06NMKDcsFIsX6KRsz72qx/W0nB4nk+/e
KCY+FI8kr5TFA6nRFTdDuvzV0E41/Q5a6gc9G5w31Ktig+6g+6hzdttGRM1rmhWcfrEPTI/XgwK0
qXI6qjR3366EyLTLubQNb4a2X/oBu97ju+A4RINd08/QYDXG5yHITMgV1YnbiGtnLu+2rBo2nq5q
9wTFq0c91TmEVxUmdMfI6ldS0dnNJ/gK7SZEq/rmdjOSNTxuaCabruWdD/wMFttqnNQJcEdZYI3i
gEMUithkc9p//Fr8WMvRZ0pFWqxzh6DSla1lDaOt2pUQdZ2JVHRs8280nxkxse3wBmsTmnbg4yxP
N3VhhN9zDbBLUF4fISN0cCMPQBM4BrHz9Ot2fPDtEeWg6LhGTPA43PG3Ilq8blhfWNuqpVTJ4gKX
7WRwMNBd6+Bypc/k33oHPk51Yw0aeZmTnIAZxjnvdpC4BceRHbdfbk+nJIJdjzDQBsyf+M3pwHHV
xqUob+sx0oiLZjjBKY2EXaygMcrWjc//TmbInDLo7YzvrDd88ayGxLukmd/km77Rkx0mA+4R0gWc
t7igTU+LccnMuC4CzIjU45SUfCs5bN6TOznWoRE8YbW7vHwx9v4qXZ56xDj1a2oQ6o7BpN1z3G/2
TWhxVRMTYW7ORs73MHKFREm+O5JRda8gIby1Pv76TM8LoO3JTAh85PDEty3jf4Si3Ik2WobuZkxY
AhzmhGpjtITxcqZtou5eqNAcD361XKC0sVmazCps9kVriGdSIJUIesrRDicS6k267sTeBSaGtadJ
T503K02Ni6n51AAipQyxlW9cRgv/MfpF8mYC1nmYcozd6lcXhX+zaphX3F8/ITsRZ+TOZQUCtZDs
rgXvPGokYBoWj2hEiZqwdIMQoKS9yIZ/iDSEy9Ivp7QZJxqjouXuvG6b06xzR9UIX9FgxHx21CLi
VJo+yXbSLNatlFQyy7fW1gMp3elo5PO6Xd5O7PIpMkTMb7XseV7LOBInUut4rObJIpvSmslbIpHI
DxzosCi4Mh4u0/ZZHeOOFJcg5pZnUruEsIMLca3NOHhkEhKiVGwcIXPnUdFvblcl0Ox5pbW682ar
ZWXhvxbPaA0pW3Om5llTadUGityYH4vB5adz4nWaJ6RcI7cIkcnFal42F6CCy9pHrri2qyJjIYHU
Q7SU5HZPvRIX3BPXL+DXtWgp3IfUZF1YFlYGkew413s3hKdAzERfA+chDeV7yzb0cL0/bWKCdymN
gB3hIYsnUfrcIpifuaGcbDiixUe0/+sNQbyt/wnoKRtWRTswSQTzsMkX0Hbk0ku53hUuQifChsl4
Prs2QaVGUxpnWAN8CVlHmD3J1qUBGcYpWYlAicLoaEyaEFjDkzlIlg+kjQV3H1PjfNXaI/9u4iDU
rqk9jbNh8xG45YyLA6dpXJMvx5NFQA07DAwGawuZRN3LlIERU0PjzvHM+YFKnZtapyUnV0iOMXIv
K6Cd9VmBtNDjy+5Dbdm+QV6TK+CNPDbLBoQ4LSKNalUPPYtCFbVDuG00X7BcyeXdprLnMbOaideN
6kk9QvBqFxoRbgehJg5+zlVrPaE1x/Bt99o6tTHlIj7S6vlpMAgA2fdyKOM7cs4hmpcso+eWyWdE
0djzClFScbfrRji3F2YUHEIiLRPPVwB5Cdydz+uJ8d6WpvckfVXcQZN9j7VQW2Ui7fYOgJvAa3l2
xixKPyOLIALPJNWA2N0yW6FO4AFWbI8wodmRJpJgVz0tT8EJZXIZY0x8zwmi/KByxlntNFSxWx0k
1QA0uwLpMjAtBied3gL6MIwVu2ZxoLJXTDPJEVjldV3ehpVVfQqmXGBGTMViyCEzDNrO7P2NUl2v
H5tl8T+Sr0MjEjEyZyppV1QwOTMmSBt0YegUyVWTh6P2BJ+Dy9MWNX9uhMGXZDmzuqcDiL7cGts9
1GXWpWbgjIOUTD02oNYes4j8edgxuNsb3CfXQjnLuQtGoFvLqy56UL3l7WFrp9lkVpwP7HDknarr
ZhLGrNszUJnsR8UZk91F1GKDHMM6GNDGn0M/5A66FoaRHpU1EvwU2Ezbs6ZV+JPDG/ppLRFDlTgl
IrIPaMqMc6QcAdal7z7MefLXrpXZTN8x7m1BwrF/timbmywiVqvZTczLwCuvrusmlD0WR6brxLU3
Jc9Evpw361D4p6L1k2Id1rSvRmWj189JawaEx1Gt4RHqcxS2SahlRyYrWzdaVuaZmQ44IoyHe9OJ
kx/24OrdjVNLnrh+SVtwskactF9PGA2nB1QxhyIDT3LwPKRmBwo21e876huGZ7LdVT3glxwdtE+t
0jtveoauEoIrLTsHytmKPg9fiZdqbBthaFJJFC4biztM7iWmY72eG886LKlG53aOluXgemR2iO1E
c6cCumSFvo2ywvM3JJabW145vsQtjhwVE+Md21PypZYRAW08IazOVDvzlg1Resh18PXD9qi1eyTW
FVHXsyjJzmsttTcjR3tf7K0fqZDzj5xT5WeFp4Pj9piTO+9O5o2BNOCEwrTa5TRXvtq83XbNMIiA
16aBuLBpKtUcHUslZ/hp+MZTN3kp6j56gi4yqJUsyFvIOkffTb4znYVVh19ioCLvFRO+ds38k5z0
RCP+9X6Gf4J5Xo9GY+Vh4yMkQAzu67U7868Jz99NeCjP6Rv99zq9yw+SGv8w3Pn1J34b7gjrFweD
vMVkw0WETYPrn8MdnSggCxU4vSeY4Ive7h8THsv9BXQo/wqfCf0wXAj/NeExHQKVGRLRJ1sA4Ivs
76eJzl9NeHCTLC3Tf7aLkOmZjo18kBEE96DFa/2xpar3uOebCnw+GoD2ZdBsLyDr491XZn6eDa3Z
xJrRMYKoskdv9G+R8Qxf3SFtnupKe2r0tjtKBNJB43tEJVRSO0zYJcPdgDfvnipPe5OeB2vIrfRm
D4DKg9fgmJw2saRPFokNgN+KJY3S8A6z0frmWdizXn3p8saUKc69ubJ2dQZP5tavW/ruK31gm1Gs
rUNf2CwMWWpv55nZEGdcNu7mC07bHs2+Vxa5cYyFcmnZmKHoN16s2902ZsmpyfKF1k/MWJn5JA8p
EpDAMHBWN45eNZnP9hR1pK/MFdhnkvxg0+zQRE/OQbJ/6WAppsRLL+SMaHIIwJAMzToGEP2WlqH/
sSyXHpqRDvzCpiW+fUCl13mJ/qTmNq1h0OV2t4PUZ97QdJ+7lXQFuRvIjAmC6D2n21KQkdQEn5IF
n5T2fYHP4VWVSV8EDFH6faopH6O977xOg2Ozp0XxPumSpyjPOYXgs7ptzLLap+b4nFaJtUv7MQ2M
QkT7bPzVTBbFL4yL6S5NCCY9X91WdnsTj1K+dBEZbDLv7snqjOlzDKJGnuK+g4FnPC/H1zlFV2w2
YpUp68ChkSoINAodZqSWvv2d8wjoxzCTT7Mv0bPMWoHmwHzWLNBUjofYuPNib+ub5Y5R0+MwJ89u
brKCJv0N4iQCXbLoTDaMtypk/1oVHcffqtxnlG7rRTSgILEhCa/dm7qGlUPJfB/Dj+I8mT3X9B3W
suXgnBXDDw4w7i1DrfB+FJXLBG+hgElJgh4n+Yw2284ebIN4cHJ+UstdDwMrL6Umhe04xCcK5/bW
70dz4zm2fiB3MtmWENeAA0WIvRZoViLNYVcMTvLdjxt1VO00kfHpaI8c9eygTKMfoRVWd47WPzl9
op7KYsoBehVkRyR1sqez5i6htW5gVRNRKaUjt73v0B127XjbtqbYRlTUQKk0AV5r5FiRFUDLiOMO
WTuQPEiSr0OVfK9IzlpBaAEkGbWcUvWiI0tmAdeUxCOSwOyC8BwwbiHfCoDiXgy2EPShuAZzQlLn
ciRupSZtr9denCnUAytT6TFuHLHSgG5/WtJpv8nZW6UGAbgZtQsdoMa1wR7oKOuHTN64kAnv2df9
BqferH1WvVsSdcOG7qDj9/Vo3abDPKHkUNoeEYt8pCocvaeccvoeTwR6vCZsk3ONXndrVYlPlHfo
dSsjl+mlW4RfvW7M0Y5d3jyWMmqpDayeV+PGyuYgHPt3PBIWx4ZhuMe/bqyGgdsiEkjiAl+p6aOp
WVQ3kWdPR9kn5Z7ewjSCpeLWUiu6f7oCNGcQLFR1KPWNpsFyH41hvXWBqsSfCMgEzxrhrXOAh7Ye
z6bvdK8d8TyDCbownrfGUOhY5EWxGxMarXGjmTvdrPhk2XjwCCLdcbhjlVAj1FU90jaONWBNqmda
b3VjbUIxI/6LwoRqav6q8Gc9e0mtSI7X3nikXsw50QPI1tWmwA3Sa419TjFdrDm0pDellnxAFG3X
iVknz0yn6LS7tZPcmu00GEEhIdDPRmHcN0X4pcnNzOeIZIlTbefV0RD9loHbcKJXUj/ai2Ymszvv
zSycZB1lolnihThbyCjmMR6VaW7CRY0z5ZN+64aoC/uw79Y4q/tz3kHH4/eU2+oq8Fme2swO0RHM
g7UNmYVttCaPd14+3OcxkZjJ1O1HsOtmEEJkZy8hRR3MafkwWtMrWmVnD2RNvLdm9wBDKMYRklnD
3vL7r+6UFkFCu3GDRexgU5evM2lY0CWNuv8MK5swHq3XbibpxFt/kMaSYy82dYVUZor8aMvEifXA
n87J6Gd3s6YPt7Qo0qCcpLdOSmUGqkt5tCguNr1tRrtY2DD1Rg6t5PswqjDa3aRFLWtwfwsvgGwY
pNkBVizuxB4rSQ9PI3DH1gkidO0wRMwg8ytUgDaxaHw2sW8UVdPUiANVXYhVRVGPuaJ4n0DxbXSi
ezFiYAUi26dZp0WVo+plzn4RoDzXlp9B67aJh+365iA05jGtVn+qxvtSJF61mcUot/oSGcDcinaD
bZOjW6p4K2WhjrTvPoZsvs37UN4YCs0yKNGGWDKvvEOAop9MtchG9QmLWNLrh5k5/F5jrB009ZL/
iw8WPAQZfZrPZyYUBDFmkbHeNe63Gdk6JmjPIAOp/2bSNKdWoGVsTGSnhtY4AfBNjRP3QLcD0B6v
xiz7lG4utqqev0U1vzWbEUqT/4f+O6yM0Awg8/Htieh7UaOCxLTW3oe0EQCkG915tP2BzZ0AcFeP
XrEqf9ai+UF8db6FEauCQdkvRYt3E9Fz85z7/KoZVlhQS9V/ttI2VykIjbXNIhp4HfC2ysnTB0GV
d9B9cz4NWc/X4GXfZBHqaxbTilU7GV58uuIru7eekgRF6RDR/UmVz7ruJvl3s+xNPDh0WrE5u1sa
jcgQhVZuu3QuTiYjCKwJs42cefpOpsMUDKbrIQnlPYwgoTa6aPznTjfRclKY84WSHucGsSdVyRdW
8/aHPktfeeyz/rYfS//SIFQORkufntrFQ0ddt9JywcCA0cS904fpq5e6T6iRRgJyorNtVt3ekn5E
bzpOF5ErpRa9qNj+IpyMzF7HJcCbMtyeQxwSDSI9rvQwgkDB8wXKeoD0GFXmBzbZ0llPXOfArI3q
jr56v9dn5e095fjfxqzTX6Wu3lNQsHezbmnpZmAUuU/r3rpzCnfYGHOqSlbWuh8CBxu8MAeBx99x
uCP04rEBDfU4TmiIV6yaaPnRp5orx+7yz66FeLE8qBHXFIVRxRysdXd1bTg8MkAHkcl3YgZlabLN
07B5qmkPL9XSyff1FMWk0L/DVTvmY8xcM61iqF2R9ZETcvlUUlS/GxT49NvI0ADgkEhFLjiZawzG
oditEe+pdz3383Vdye5pHtvmELJ43i5MrJ0o3fvZxU1Seb23HtgO1N7QZjJuB3fwPsLIK1ax2Xl3
oneSF6du7VtDJs66hUe8cRKrXtVVPefrtvEgIvZW9dhadktHn6/ijGHFB+Abon/0emrZ9UwPmIa3
6qY7smPzXWS06Tb0xn6LEMjc1LyvHYIqbZeSwVYgW8mTF1az7IUtTn4lZUR/IvEn3Ouplxx0Z+TE
GzbusSkHgiUTrcO2NrkjIcom7Z+bQSMiWcxxexSayQMRE5e8wYoujibSdnqPysA2DF587Q6Rvpn1
rn2gk9y/6P4sP5x6HGCxVeKmAvxxB4Sn/VJZDk5jr6sYT1uNu86KZfDE6Wp+FsBRKsKFnW68RAYr
LOxLW4r1LGrLhdZST8MmSXkebohWpQXuh7n7ZQz92f0aZVoyr5lNsrP60hY8iK3qg6l1kWXYmQ23
jlTj18Eb0X9WnnxCxop6qWPocpuXKnkNC6fcoviGEFnMKj9IWepLYHnkB7adaX7Q0fh80YlueCD+
qNyrguW1LcTTWHA27kAkfy+LEoh77KVb5OPRTVtyJAWR0oB+LYbiYsQj0B/dM3dkNWcnzM/NFtEr
jX4Ey6tam/MucNra2Y5GOT4QLdHSBpjDgsQ5MLlDashTUc4ysKEy0LxU0b1ZW+H06HtpW92pKFbO
WkRKb9xshbCIuIWPoo7F1PmBlKZZdx8cNxOfpGGc9qP9VPWRm9ESlVPle223T0Vc4HmB5DjfoMhm
GNWlZEQ2XdGuCWBkHVV+jlS1c619j+3zxaTDRNIKND5v32Y8i9+RG4ZrnU5YdCLkHFk2t3CbblDw
jmsX+QezWI3GahBjlzwNvVbvZSeMR9X01AJEne9AmcXrAdH+sRnb+tByT65p0yenOnWSVUjj5rNo
K/tdL/+TvTNZjhu71vW73DkqsNFjcCcJZMtMUkxS7CYISpTQA3ujB57+fmDZN6TysX08d4QjyqoS
pUxgN2v9629ya9k0adNlzBLkY5v7UfoqhNUHpeWPl479uPGwK7eR/Xrej9qT8cHpS0pw0UFaQiPl
Pi3ZqJP2zOm89dsi37VGu7zDcWJ+Apy9KeiP0X3qyC6s/rQYqruXMpUvyWSV13EUUItlOgZGacnQ
ToQpNyIpwWZzZLu1HlEdqLzdY2EsggabX0b5iixQPuPXlipy202Tz6BeZNuYu47iXM0MBhtkOYV7
1GQ1hDWN+7WLU3/XQCx6t63JOjDkJCc952QqEKBtXAym92lsDkhuIfSZaenwettk/Fb42rAvDOvO
hCTxoVfNHYg9oHMH6iWxqjwoUShKqR4DcVraaUPO8Lhl3aidhCOzVXNOf8OiJN89SzF9wwt66xdc
49Gk5W8tNT2W/G550Eg8CPHMHhl4OJVHVlLXBpquzYGFMf+ujlAhAd1qd525zFc5JgecaIrLlPeo
P+LKJCcJ22gmCEnyQxLocImiNOWgVTHzYI2923Lw9zILkP4DezbMSZq8G7h0xvk+6XT/dpjifJtV
qXNAYmxvjQLFkd7W9SnVxRfPK4dN27ZTHZA//966eGJX9dzBghDKu801BUujJPVYFISbZwVqoM+4
THNsmU2UaVK+arJ9VRhBgHR7e2R3Qt/UcvjQmYbj3q0vR+IOyGSk8cSBw+76zVTFBfNYE/QBo5cQ
c853Gxe37cDbwnByepEeTUSMnmpRH1VWvLTZsK63Xq+3fVfl9QZQf4uPmrEpUj86ZSnT6bwlNabE
oj+gZhZ6oKFPKrYNkHgfW5M61wSvslpady/03A0Q+KZnkMv8C/iDroe9BbF8O0iURW1Hvc08GK3S
Cv9MXiuPvmLCuYzDcogzT/8xVrRoWZcNh9Lq+nDUlHGfdS6IgGy+d8nUndwSMpEO7eQEczlMklke
PekoLmAwZcMtBwKGiccg4eob/Rql2FyluGIuWXmsejkQ6ja08zPBDu0GvOdiMg54opR6TDWlcKzu
3JvEMUmXnhYKxxohyrhAaEh6rQmroX/zhbqMAqJSkhlPOAbmQTZY1g5ttheMtuk9Y/5QwhdoqtDX
vYFs1Mh+XOrc3thLbtzA9ENKX70i22oPZG09NI5YUyKo/2aqI7R41UNSG68kfhYwACvrA+1pE+px
Y4YwoZ4m1zN/Sllqyy5GbYZOXzI10SbZk+bhlFfiVXSA4jgTmPJ40dugM2rfTMNACDwSy6sSYsHG
24siYKduHDGPBqum+C8FPc5kI3M1/StRX3a3AYcmRDbDwRRYvUk65DTsAUfPm5NRUUoumDnQ6kQh
r0q6lzyz5d0AIyLeiFyrNwYe1mLjGEtRbQevEO221xPc4YXjHfk//CcQ/J9GbFzxvePw8NLk5Es9
P802l6swx+9RjsP1PtfyeIti1dq4LhN3u5hOS4o7iqaLp4YrKShEJzfMoMACZQVD0l9RduGgf7U7
qrxU2HvDphKOW4MjgeiZYTxkdX/ABeot9pbTxIIPyPjVj3msXSKclfDUs9U2U+4JiWW3G83c3bq5
U5ykDfynfL0NKkp9RGQT0l5LnZt4uGfk9aGXKSs+mu2tP1X3ypJVCDDjHvFbNbAj6xJ0igjr3KXU
7hjJPafCam8Y/8lwbBwCPwqz2ie4LW/TuhQHclu0sLH79lh1sQ5y0dWkgdofEnvU+17TgeGiEWf3
en7LYwFy1s3mjtzkdJN15jfI0uJh9Ow8dKZ5bAKMjlBYtu7wwNlnbBANNIGrq/7UKMAoXWSEpmO9
DydNA2dJU2Pb6FjH+k51YdzbMqcwrT400tHvt24syjULDcM+xf0o/KXe5eks31u4Ba9oG8wyzLVl
+Z4b+O4HYs6199W0/87VC+2QceE1TDrd6eAR7XJ2c1okhu4ZTO40PjWaFW9NmE3fqLPYWrEs39NM
eHf1aEYXTKj771rq/IwbMcuNn2jtSQFD3y9EiUALc8cqkKk+fkX50n8xjMRabpvJqyVKxbLeg4KW
6EI7QlmXxXd2ok6FGzp5OoWSaC9iuPHD3aUSWwiLgJpbkTb2ENhcBoc0Gh7n2P5KhWA/qCiud7GC
9sg+mLdO0xJ/4HtP48oDg8psPMR6QXRCYt55oo3eywmWTVZGXkCcIbnkaGRz7WY0KGrOpPhCmeqG
5IYaopt2sdPUAcM3pz9ZaG3xhe8Ik9nHEVk3gERMekawsNWJzhGE4y3EKRDkI+3AdermqZEW8k/l
ecOG0BMfsbsOxjfLLApmzoVXZk6+eTumtv448Aega1X98tznpKOzjdGCmwDUeF5Uc3sxe9mfXVYP
sgE5dnuMa9LzIjF8DLmwoG00fUzFhLwVzltX4s7crZUQp8xrmTvum9UkiKjyPutIBErqjULYSdGK
iSCKW4zQCY4wpwe7lx3gk55LZ0Mb5vEmoNyTZBV/2HCi4rAi22zCr2uerzMzrDww2WjbRU1E5brt
appkcEVTgpYyHEz5c6S8Rm8KYx4fAGR4DuJBggdCRorjPk4jdU+EovGMUrkiXdziwF4aW3xpFW4e
GHgM3rW1G+5TzrL6S7Fow7Nmpbh8JwpcpiSi99LMWvecy5U+hbfH3pDIXWheW/O+tdFm+wSFlziK
RP4NNoBQFguU/6SMDA+MjwFDoSSzS+uKYxVeqFcZ1IxJEqZ2SxC8O2Ixhu4OVHBjNn6c3YLwd9wn
fmMWN5kwZht7kNHmTZfZNuqaOMM/uv1CjA2CWmeWxtYEhnrUUY+eMoLUg6pI5p8F4/3XSLQUavBs
GE8DMN0mvo/pQZyl6rl3bJyQNG7dmBQHLnsEwjQ76ZaoQnT82giNAGj0pokm9ziM6LglScpnKaqq
pbIX+pl8l/Frl+EnyynLEDjRRitwGiviOOkQLOdK3uJz7kGCEvG2HRa5RwlvBSaO/vFGa8bu4hWl
+QJ6q3GJjfJRp747N7AQdn1H9Q+c6YLSaMl1TrIh8LDGBrSvM6Js2vLSd/53bRC0DhinHZzExvZv
XsTFH9gaZmYk21TBeYOo+qWanIkoA3s4OZqLISDRSqHV0XX0VIwBeHNzahO/v2iNm589x/9WodTZ
DtGsY2g6vxMAkwTGypWNvAxYUUQlWFkzP2mpGe3gXydbCS11q7HQ98kg2wAen3EkAwzMps6r2QBo
W8LEnEToCJyKyJOiltWX5jUtrDmgVVgOczM52KeLtv9CZBI4MA5dRYhX4FBcJ8bk4Zxw2WQ2VEjw
rCE/a7CcR5vxDRiroNKok53I8eGE0Hdr5wv/Xo/uW3Oa70ZMZTfGkD/5rfFixhzWpK5vU8tcQpCS
d7+CR+JDHgnHMYnDloSVsHK1emeI3DqMVrm34uy6YBUY1pZtB36vQxaJlzviyohcz9SzbEnicGKC
fDXjQGHV7YfFGt60iTGIYWovEOd1rF+okCFFIPcZuKgnr38vIXjdj72672ujmDd67XG1Q+ZowqTQ
7jzTJwVAN/BJR6ULGV77sDS3v9RGhaUO5/+G2BpMOUk0fulGu9/E5XQepJyOTaGe/zu2/t+k+OLC
7TEz/udj68t7MxfvFbqnP1OBjx//9//87Yf+Nrl2bcKvXdymHAQZCAp+8ZdxfcbTOgwlm9BAhtcM
yP9uL+P/wb0IFRINn41xnm7+/8G16f7hea6JmzaqCxdvafM/GVz/rhbB7UXHLpcJuO7rPi6rn4bO
vwiBKr3PGrjqy4Eax2b4M1hEj0zx/LUU0xDEMev9l8fzP8gTV9XEL2Py9S90TaZUNvN6wMS/Wo93
GMd12uLMh2nKmnvsNwYOoPHfCbt+F5Z9fq11FA9NAGWnMIy/aHU6G6amspPpMHcq3Y8GcrK8BkhL
XUsyChjpI9sG0pHKtGuLQPHrv/6S2G3/w9cUDvZjpMR4pJfCXPidDdD3mJkOSL4OdQF0vJtGhlrI
MvUDcTGk2BsgfRMcJfh2cOLERjLehNEtUw29kG7aD7VnCy6FyJsvQOhwcmJBOpG3jPmO8AJ+L1Ei
cOnMQoMbP8kMHMaOSFkOOiYIP1U351cz8/JwIQzmkFgUdRGYw6l0bPUSpWre0yxCE5Sx4ObGz0sR
qmi4y0EnT+sRtoW8bZj8PRocYV86s49Oo9PKd0ipqY5N1zD/TFq+0VAVw1PRV/O+BXI+RwL/4SZK
PfxHOKUQZ+v1G7bA8lXEOj84TtB1WzUZMIKd6OoP+B6GQyth463quJKZMRwPbhnLMvdGTGDZRndb
xsYLdKy5ZobvTvg32GqpztiBgwYUsVFspJs293UxIG4AeMRFs3PBETHFuCzwgg4kxK4qlbQ5EaOk
7tuyi04LwN4eElRxVN3Cx8Fx94mg9+FJZYvzwNsxtrTzxrYyIEb2+AZ8n4kDCGJXsIbGaiZuOqqB
4RfeDCMc/eCMPnuIhKWT2VVwkoWWHpSiDhl7OX/FE3z+CkbXPjs19Gcira2jijsYuMXSPkMqqM5T
DVmtLD2eCLcClQ08ZrwFHdLLcMUpcLGQzNNHrKC3NSYTV+kklGAipmU16ua7FfHLeI2VCyDtLfEB
YgOcAatX3ydS8756WjfvnbQvjrXHy51ppEPoDfCfW7Nqqq3uYHcjwfA23UIP5VoaszQR5VfYUHAJ
wY1vkZvZAROQ4UeOrwBWPF2+K2Gbc2iI+i2d1PAUcflefDXwR5nJvJc0ABsx8Y19OMi3Ub5udk3Z
d+jyKYZ9vgvJotTVQKLBkKOS2AxJNfwgZmMmfQhULbZ4E9Hggw5Xcg7JObbgzMue55rH8t0tfBv3
2yjD333SMBCrkyi6Onqkvtu+vlyqMZm/GlBc9xUhWhivqHyn5VX3oWdwaFMrHcMkLhg3azzbNuY9
rpmE+NWzRCmWhx9zw7df8tmIN4pB3MaCF723BOu/WRUkRexGp6LNX0fk3ackbcq72Pup976OjlIr
ofO0UWkck9Z+041ZvZBU2YP4szY34Dfp3uDKDy2reCMWcvjRWa68BYFlUU7GwBiJF+XQRjPpteQd
bi0Wo43RvutJ3Xqs0la+9rZTvxHawmp1cyh3RlS/maU932Rogx4mb/YkElLPD7xqrN9jz22rIMUs
a4Mrax5+fjlvhV7autWuE7kgHS1ptlxGb26parT8Otfw86Gt8HxEJ6LThAwgcEY9PXQ1XlvEYU7p
3p7S5rssHHxI6PN6TCYQib1gFeifM32GSOsYprrtHAOVzzOyOpE7r1BRIBqkzAtfU4GoJD5gblTR
dnYLxRki87G/zGqM7NOIM4t1NXMmo+hS5q8C1CeoMTckr2rNrFSYeuxYh7a+6TCixRgDU57d0Fe3
DIXxd2CFnRBYfOn0Vrsn7uqq2f2tVcpy5yWufU8vxNnpTiY+FvEDerzbEidRJHhsIjLLkiNe1F/h
JlAtF1G/7a35W+qV/dYa+o88MXDTquLvc28lx2Sh2ahEL891OYzbwqb8IwGo+4C/qBCDtjdTp6Jd
gX7iNC0kd4m5cYPCteMwlnF6ay3WfNF8OcxBs0QnJ/MYLEsVpoWqiB3wI3W0DL3AOmiyAqXH9qZM
86HelEXxM5ZLR3qeXbn7HoyL9J3qijdsujVKzb/J0MpdkAWMOydhw6qsFDfpHGEO5nsYbMy8SEMM
+lFHjHUoIW4FDBO9bT1qoNimx7YEQAeqcWWAvb5+MxIReuhj8QCc6ONK47ZnUflmsWUm130nBm4k
dUX52kL7yDvcxAVIMmQKwoHE+FbVUXPuW4P0TkPvj/HoA98V5AZwhTkqnKP2u1mP/R5GN3ceF7i3
GxKuucSYOgBoR12xHhBMGPJ2Fw99Mm2SnKGa701vno1FHADWdFPR8wKS5/kr3WlNlzM5894nw3cE
N4Ao6tseTrWDZUJsNNU91Zm3s3q00kfJ+aqHM4cIDIpcYlcs2VcXq2jlzbhEC4GzunE0JtmGmHWz
q1q4Qvh1VhDamPAysAAenb4uo5kBa5Q0bm11GAu8pTXoIY2zvMtCt4/GXC6PMpN1HIjWx5XY9o8l
YNqXNKcxGaJenfBOoqM0ipLlDq5Jyh5ZGpZp3bvMBSgOZkHRj5konBcPsjzTDii+ywZgFggY8e2L
68TM6fR53FkRPHISMLWdSpgv9nF5XwiNuxzs6Jim5mRurGEIYy0GivBisS9SVrxjAgl7wxRtfQxU
LuSHWUgLRu2KX7F3K9Qyn2avwZkJKWBibZXTlD/QwNwy/HXP/tQZpIgiF8ImlFAWgNMkv0hMX48y
KVdRVuI0N8USma995kLzcu3RzVDCFO1NMuOLB0cq039InAFpV93KmcJVXnUk0sTHu0pr9r0o7Nex
6NM0BH3Nzha4/PfSzBx8AVsLte2KnGf2q5FwOUMDgLKFD14LG3KCv43hzvCtRh4UdMW41gUSoGTq
itBRAy7q3lCmNxpcDkIAZjdzWX5lcmzMoTn7qq2toJnatiBr0U4PU+VFbZBBabybiZI7LEklv4GS
aG3QyBkrIBLFMNajRCJkm3uoEMsB8l91RtFpczjL7gN/QJyO4hGCxw6dLhcOYYrzzwracyhnLbqi
aV33QE6Z4EbY6aNJwlrMTdIyUIm075Y01a5aLVE/DqkJMSVPc/jQcBuZ+dHBh5YzyW9A54vcJjYv
CVkK7KCeqvDP4kulsP8zMSO2w+2RQHAbe/sN4AJEmWmejS1lqPMw5YqybC0Yq60xWDnWtAbYvetU
56JZloOlt2NYIqoCLcvQ06AdUFGY2O064C5r7VrFPj73hhnfQcnL6fAdeRsvn5/CVy+mRgzXJlJq
PZSXcv5JqI23SX3kuOvwRHzhGKw+TEmIKnHOzsCtjVzYoalnatPwcebVHi8RWv8EXsC7E4hIqoAE
v3kf4098g/qc7w/xIoxj7vKaYutVQtVEpr+Wv/BrX92OwbSBhxzYIPJIr5zmn94MkZ+gdFg8Weqj
RB9b7Pxs2nOGVGZxzA1f3f/rJkL8Tz2EcFz8613mHJxAv/cQjJHzmqyN7hBrhjpFPoch5TBubgoV
532xVjSLiR/iwIt5a2cUrtVY8bB7WLv/pqERv7vKrA3Vn58EixCinNy/OnX06EpKmanuYKVU/oGz
9Padi657G3djdJotCkIifuQW5H764mLqvs1a2zwsXf0WR2Ssanh4nfBtnG8IG1MvKL+tuyE1pq8j
Ffe/c2qgOf5Lj8lURaye1DiMoBRfm95fmlro3rk7aGbL0NTUN0NbOQ9kndsBqH9yp5GlHHIVscDE
wIrPASpDnXvqhDoNSqGkbnYtiqB//TY/W87fG1/ThhxO3AHu7tY/NL5xr1gjadwe0AnDroQxGIWt
16sz+rxh30CoCjmaly2KFC4erCbUSyZpXt1k3abWkF+z0VIns3CWA1O2+gN6iHvvIQHc+p1awJ5A
DsHVbS38158cKvs/PE90RB7gBdY6JIf91RDZ7jVT4jqHng1TgAB3TnzxEBvPu3qeOJ3Sagz9xHR/
knkwHFJI1DvkX+9eJp/HKsbG0KZc0uwxDntZ1pehMaxXcKrqki44osEEMN9AF5PpwuyjGm6aJPHI
hBd5qFvpsksnNnTJUXKI/dS+0wUOgs1UUq8W6J0pIBfIxOZ8YyVU843qR4genDCG1WtXnAOcB3h2
88/Si3WbobBlaRsIYLQ0lkPdS4QMFBQOsASdO420B3PcinN+02KtK4R8Zk7iz1p9qhZ1X+F3zZni
r2V7TkHvY+TN5CR1Hiwzl1tjiuRtbgoPj1NFDSqAHGLIWU/xAtUZ7zOjeGvMPsduoVjc4UySdcxD
SgGlNdRZ09aO80Rngm5GDI5M0snNJrCNTmutkC+EKyhzfrFpFRjy0WXgHR9zSpqQYRX/IqKghxfS
eoI0zJS4JuhfVNw3BJu0Hy6qWcltTE3f6ElWhVG0KjpxTKq3EM7oSIqJUt5dx+4aZFCYdLF+oPvm
iPWs9lnHHjQwKmEHra3VTVBieH+ZGho3L7Hktznr812TIvyCfsJ+ykdW5NLRUCSV0z9BHnxzG/rH
ZULahRTTTMNmTgeaSp6dn49YHuB8xAAZiva1yQyUXlwc99BT032UJxx6HukEx8726ndUnvW7NQtq
Q6MwGCNPvE8YzJAYkfmdZ2JMN/1I0+8UVfvMRLJ9niZhHsnUqN+6tbcjjqxYBZ0YeFhLgTktCcb9
DlI0NoNtRtdSuSbp06l7X5pN/6SL3thi71S/2y2qWt2iw5KC7jlsqoUbAM+r9tnIAJQY78vbzsVJ
HjtRThNSnj24pR2dUWRZ0G9qQkyHw+ooB19e8B+xk1TfIQDzVFYPzpbucGOn1nKoEu5EBQl+oSTi
yiF3niuUOOVlZ88uAFBpqJdxdr2zQMH81sJBOsdCNqcU+9izE/PgGi7QPdixHdReNTxhgUl7P87p
3lsRIJx65G0JZH7AgRKEYKyWnx67dNmm3oKSzcGvcXLlt67vaLd1O74TlUV2x5g4gSBZNqi0tXBe
P/WEfQHc8BTXEsiQ6zswx+Io1q06rec7k1V0xIAlbxhi9rupKTPSiaDLbbGZBhlZm9d00mngYf2o
e2g0vBlEGyzb9S5mzo1iEKxnvslNj6VK0QuuYzo8qhWUqAt3vlliZ75MA+ja5zI0JiAYlrfSD1Ov
zRcrBvEw21ndfyI+lcnyKcfVfF+AnKiSLrioRHooLAqqAueNcx85dvAJD2ixxmOwFJ0tgCOPfgXy
ltSbdzkT82BMkp8kgM2Xhe2GayO2jxHMbrAwLwa90uWUX6HMT+WGAtinT6Ek62t3+qJ6iCAJIhvm
CaNeHKeFb6TjOg6IA4MjqP0RCC5yIO7FuW4Hsl+VzBlLsAK4G7cVPHDmgKV9Z+SO/UDBo+PF7Qzt
c5c1IIKLlasX5tgAZXY3qu9xBuLS6t38tdLY5pHRoPlcwRXTtjjW6Oij0ydSAw1ZZ0bnrvLqBTbu
pjQAe9TCEWcK/vpP/ObzkpxysNuqxhkDLtIP7EvWctnVeH1FSbGkWh3C1+fSJDl1R8hxcaygIF91
UVRnWUO5V2i0zl7XqpeawfoBq1gwtX6tlcfSTO4Gi04riPWOw13DhQPnjPptiil2Gh2Z5OhyztYj
Xq+bxFYNjDWTF5LDXd9+Ws/iJwlUkbGn1/WsmvUYbqO6vSnaAkTST11q3rzhx7lE5xtsh8RjsqLe
1CXrLUCD9oZ0uOSc6NuPXkX1O6n38Z2L9+dONOv6wffkQKsDGOnwdaIV/fosbz2k0Kgmq/xajgMo
ksU16cAdffy8Gxh6Nafei5M7lyMf3AkQddBs6468F5urgun6WfmUITDEjMcR5UHglxb4WU0ljEQC
UugqsZcOtuppz4v0AYiPc6FX58Xsq7NtsHHK9R0QcClf2xai365hZBmWI/xVw4qHp3mkTGYa6Z31
ujAetRINecQ59lK3nnxNnCI6gV84wSckSMKLdfQwrz7FVTKGULPRe3KaSIz22nwXk6a4Q4xJcdLR
7JRs7D3Cf1DQGh1ZMOtD/VYYGgD1CGZsphGtQkfhbDqIrg3AZZKm1sXzecxOLk8D5Gi+gYUYP9PV
w32YjXLtJ+BnoQ8y8RwAtPkqkcQeMIkFshgIA4NxwfGG6QwzWt/k1nIGSY9nstY0PbpOI3iZUUxl
CkfFVqdRFoCI61HJiA4GSG4iXfCMnFeZrl7CmDSYyud+YBQOOg0nGOOmzp0vBEeIR1O5/Q+3iqY9
8vECU/mcjZtiKoRlQi2/Qeik5FDtUhzR7tPEyDS5QxHwNgw2T21xsVWAdMxWIU18BAHR6YaGUb1Q
lWQIgqY54lLWa5+6pbfT21HTOWRHRTlR1/Ae/XnAPrXnhc8e2oPcAFL//OXnxpxLctQ3GqaD3+2R
OxX9inWslm76MhnavCuTLN3X0Ci2ZkpVGbsrO3iwWdmWdJFmob5eLhIfwxdzdOfd1KIpsJba2SYt
DewnUOy28s0y6EzHtQqYce8eoDIsPWKwgW+MTgd7qEPvWa9LEyfhsk5iOgCVbW+7/GV53XsntC71
5rNc/a/C9t8obA3LMBlz/fNR5V2S1r+NKf/8gb+NKT39D0wsmc4Z3JjC/zRD/Zt7qmf94UFqFzZd
KAGb1jrB/LuFqvjDx8+P7J813Rcrx1/mlN4fuKfpxGSahsOPY3j4nwhsmYX+1tO5vi88w7ZdsXbC
yHZ/7+lwI6CQrmz7OEwr+GFkS35NCk4jmzTLwJzt9hnEa9nJhp4BB5LoBEMWLASx4le74jiziFp/
1k0qQpgzxvaXJ/nlzzbun5uuYjXL8JSLGRTLpuvEdvX3T+f3XhOR5WYdoUdSJSYWlztOQ+fKZixB
VERBuQUnNGglyXd/Lvjf3GZ//bvpa//ybDwyKz3BpNhhjOxYn6GWv/S7EQiMdPoUsUQcvZQ43AT9
SBDrJfdJCAodabtnQ8fKmMfkuDcUa+lXQRXxNi3V8uH2mGNTnM3mKS7idpvj/r/viqbPcduunXsM
3+QcTL1rQw4tu7OQptxZurRgESEBzaYS4Yo1tOVdYszk3DEiE4HuKTVvRuHiqN1ThSIWSDS1MTsH
/VDmGK8USqs8EC4X9kv4UrXWsm3qor8mVYvcbbaqYaOBQXOxKN9PAj8ib4yjSn/Wmkbb0uA/9rAf
EAwtCgcPIN3qtrEQIWjQcAbcb8zhMGtlBBN+MTfZ0vUzipZxUJjzO0kAZQ39EqqslyrzSnujwY8/
22MWhU4zd8/44FBhgx+BAdFwcgHwApyDxxBiNyaFs598Yjo0yxjXes1QV7/XsnuMzVIRZrHSX4sa
W4W6cvUm9JLJ3440culuMBnJbGDgOdcp8qCTgnM5aMWspHsUfZ1suVvG/oiJZgELDMnTdUp7YGrY
oW2ERAgWCRH0wAFV1OUQ4YHOBNRtogKAuxs8OeI4JeYph8uzyRooKKHEUe1gD4ahYTGGAGm07RcX
MTQIoFN9ySvyE9oYvTo+XzisWvD8Yarpk9ihm8aXjmnTl5lbe7+gLfhQiTHscj3d+R1QMTvVPzIz
Lq8LbT9CwbrPTgtSjpBOzcW8qpOHpdQX2Oyyw7enqZddZ3QxJJ/MIG5FDdbUBYOqWqi5mbiJNG86
4Z4XPUFe6g/emIySSttOflijPmBgKCYbc1K3/GG4FtxtY1GYFNopCi+s9xUyxGHBNshxG4JS2XsP
Saxl5i0waG/LDRodZ3wQTQmcsMFjtmYgbkYqDrIp4p70ZJdDEU+YXa+45TqYGz/yfODCHfDIGrAC
quSgX1rlN+n7kDKQPfgVteld2zLzXZCEkspgZkj64XT659mmWVyQHPZB5PcTLDdwyO47XsFr00ip
CYTWAaZvu76ptO3nnH+YBTYure52jJoGvHAfZtTM82EeUPAHWlTRVdRVg08cWFHM3euPFPa5VoFT
+CQXNqDHOX2JoqZMYNCdm2RE6q10s37HmIOOGioLS31ax+15m1+xhl0Pw4Tvny9pdZcxFb81egzP
AtxH+Nua9bvNSWQ/YK1Pv6EQtUEOH4ADutShRmnSgU8/xdRgn6VfCovtFfO0+hUlr98CeAywppJx
HSbR8yIb7/Wp/6ZnTa9fsFux9Vs/GlfzOUPW703LOBfeNwPZz6OcAofnZGE1tQUF5hzNtW64nVJj
eSpac/U3ykfixRF/REaE8RQ3gZjfbaTTujx5xCLwjzwm9ol1NJOgmG1qAff+pYqnIm03mmZX7/3c
lSydZmlvCGBzblUr+MQD+eHabkTczBxea+ReeUZxN1fJANevxjxs0wrCevo0Nu6sumZjEa1S3OGi
pMqAcIHaDvHtGY4TUjUD4j0x9mcGFkw3Rj4Ba5fBzrESIDS3lmomSJumHfVh1Tbum0agz7zh4eR+
UMQoV8Lac2jHCHH3GgpRd0STqdW3iTP72Cw6RPZERMGTywKwkY9t/a0V3VeTUveI4Vlm74kiH+8R
hJpFqKEeHvYe01nijehqho1R+1FgIWHbiV7PL4k5RIonM0PeYE75aOT95GxcMmG/2yQrZJvBFAn9
FkIQo9YWyOj2dLaKrL6JEpT+vbs0OLopj15WedLeelMjbkyt6I6+YcBmZAFpjzn3zMJX9tcplWIa
JVTpGoFjt6uGqsZDkDHa2gFUSDA4/QYHt0zO8Rghi23tyFaIkYlR3f+3cPxfcdxw7aVe+eeF4yVt
2/V/yK5+qx///Lm/14/eH0JfjfIN017DfR3+yL/Vj74gYW211/+V4EZ99/e8NP0P4frcFj5MKVS5
9n9UKBLT/ZdqCDYdtaKgVjVN34Jo9nstlrqpsnNE3scyg41C/NGyAzjgCCUl3QsRSeiHTq3sKkN0
NJSCBntNa4KvVFv1/HVh8qrQlKwjuDp3OGJ9MYNr5auXJZahkGPm1VBP5g0S9DYjpOYmSrFE2lbt
ykUWHRQYF+yUT8nkbKYWzMnJgNbCUI2jTqUUqE1icjxmlulclTYTHpTRRXrjiM3UioV9smcYTken
+rOAdNAEn/mYnPTRWMl306+WHZw+Gkaw+SMOjRkCk8TSKnnAIy7umwdszHrt5JFhLTB7xQLnY4jN
2NmNaMSMJwTycbot+3jCigB7cfs10f25JvZi9HETRh2beyaxaJgzfFGGi9zGjb0ROxHYyN6uzjlO
ryMiqR0jtpLDJI1L3dsZ7dDpSDMhsB2Ftf7OGHDNfZmQLVbQrfDnwFKNztqZkybHRRcRdChGjzia
AE6IwElmUzq4VTkbVSFOX2OWhjVwqf7MXsLxihwm7nrvZemnTttW1PlbRl5wHpwl7PjV/+PuzHrb
RtIu/FeCvpfBfbmYAT5LXmRHjp04SXtuBMVWKIoU90Xkr5+nRDotKbYnmWpgiI/AXEzLKZLFqnrX
cw6IQOSczHVa3djOGuBKIOSeQktX7+ghiye1EIPKwjvhYl1sso0oFKMv57jEDUJBqhJiUtmmPk+N
NLlNVwhNmUViU8yErwZqCxdYqtVsPwdCnEoRMlV2iCepmyVVZD8wlwIu9hEWLoGb2aYTIOruOQbW
nxaUVh6o+Qbg0VfxxLezaOq7UXFloJilqUhnwbAZ3FUo5CGigwYeOL+UFqzaAvkVTbduc086rspO
R66bfzNFDm1DXnyyFYJdAcozZ0pdbK5BnOS0ihlAoYXEVyzEvlJoeS8gdXQfrZ0WWCZkwaD2TBfQ
uJr08CQNdrhxaO3GERtdkXnmXzUKEmOZqKbWdNh80bXwfj1KtAeLipMn2sEffeK+L5YQLDNq3Tin
TowVgi/m1BLCZhkKZ3Pw9ItWiJ65SQyNQbVCCg1be7Zu4VoDqWucBkl9Xe2E04SEml61cK1Y3hyg
uZBYi13E1mjfUB/AENBxYEd0k2g15mQdkEk0GncMfV1+nwvxNl3IuAX6Rr+m7QuuDyHythFyb4kQ
fqMusf4zjVbrB75oeLHdIhBXxm14WUYRRRshH5fslOTmQlTOz/T2NjWL6v0GczaBJBHmzXkC2KFZ
FxuIGkY6xwrthTOnyfQ7t1UwjjVb4jLcZvPRaeL4/lVEXfpDCXnP+ypD/G5LLEok0dTKLAkqf1as
gvS+DMpaMB5AIx140dmIFsmHWAjrZZVVXNMp7+Jglagvgm9Agw/y780tTFnzadJu64uihQ5GWbsO
9D0I+JkVUn5wmTdft2tykZ47mkZC8K+A+YFMEkWfEppuNMchLEUfUEMnsDEVusxRDkygcH1CWlWD
sgZZQcWD6iEyE6QG1Zz6JJ73OdTVWzpKkSSkmlpeK/C6wDvXwLQcGfXdOjbp/BByhnFW6ndzIXFY
CrFDc65Wd0zI/MM2TsqvrRBFrIQ8IvsEvWkhmVjvxBN3OoobIamYCHFFPju7ZVSn564dJE+0BhQX
LdV4iJnmig5Ijhb4VMg1EnKi3FgJEce1hq/u5Kb2vaXrA9EhIffYCOFHl1ovmfhqtppvbmnBd280
IRNJEzaM/KabnlNEHFWn5A+VGUJjyswtAvdmFG+0O2jSodBSIfJ/H8foS7roUoY7hUpViFUC7jUm
LSWQzRjynO3UD1TvKompsXkOMDcmI5qVwNNdGxlMRwhijixzDbLfUD9ZKP9pY8jD5uM8tZrH1bre
EqbttDVLIbOZC8FNwEVnWwX1RWyJezZPY+1faxKs01BIdaaG79/DTpB/9CBGuAEWtz0dUX6kCNYE
6ecc8aWbrQmrWJUjAwqzgoJFg0IlhO9yJ8Jlv49g438S6KFmHCCxcBlFZn018jYVUnpqdVMVmX5F
qS06p3CUfiGIzG/haphPKEu3F7q/Xd1h2aCjdcv4m4Oi8vfGFwArq8ihUHK9pxoSpDPyuy68NMl5
HTvldbPNzQkwmmI8inlOpNjy0dRRg3UNqDisFsnGUcNxpdU6KfZ2tL6C4Cb9Mofs/gy0eDx1zI0P
AM5aB98jQ03Pc7dKvzpeZFln6DNtvume51xE6XY+K9W5c105CA6HZAymK9e5dMuAfD0JZexJCNzv
pjAU9wOZgHwWqA3YcMgUruCNLWbzAvbftRGYN3UIMRrOefnVoekcbg63ysc5fbL0Gut1eZd4ufO+
HbnNUtHLEKEruCcIzJjj67AuRvcrQu6H1I85esCLIsmcQ+kqDm1gYG07n59RJIwpBkT6ja/MoR6I
SO8GDpELwavpXNhFDIiqzGtfH2vuKKWrZxWPiTCcRaC0ybni6wujzOPZyIvMT47n5aeqstXf14UL
nt1rtNsmbZUx3RhQTJugCENdvSAvMq6ADIueY21WEogTR8Q63OJRfBt7mv7ZdorqbGuPwvM0jc2L
EfBnYIjQ8YL80yYQMOeTUawn06ZV8jtaGQ1wyxkC9KBUW1BdlftJNdfJeZTm2rmyyuA4na9XBlKv
iXEbzFNS3BrUwXehR+cije7xuFb09848q/nsG0OZpQoa3bQuXbmF5pyp4JaXq9LXCorUtXs5L1J4
UUZroIdhDiPMvMlv4fhIboMmSS9pTdIutzRFjklnj8Z13brtxZyqzVd8Ae1+q7trOFjo+fvubEbl
w4am+3NQuH+aaWifjdbuna5RDub9FIHLqZ38UuPIg0mnWK+oHWSjqRVpuY9EgZXNMdpp++gn2SY9
zWnmutJQbTWhNr1uwHuxNKHM26wD8xb5seBchYLuuqR2BBTaITCEo6PF/9hyCN/o9IpM8jT7Eik0
FFd1ZSTAURXjAnuHwptR0kFWkMMfkUm61CivfLBVqomUQv0HHDQLXoA1TANpM78E0D8fe1QdweOq
9DKjIeypY1Z2eEvuv1qNyZmtoTxRYtxXkOJnwI/rj1YGUK9u9XpqKU30oaA8wT7RrYzF4dpPOL6r
M9g6tIuALtmZY2s401s8VaiGNaX+VCmh91kJ4vCzoeEDolkIHNkk1/UB/kH3ug0svBXPnE8VOyk3
5JvWdOkAz0hp2KzmU7+ssnay9fT11bqAsvvUr1S/xMV048tNCuXhUt+s7RwCmaBokGE4pQfq/byi
q2dLD8AV9LbpHRqA+swwsubGTTN1AguqNy6QhrxaRXULYq7w/kS++3ptWPeeRd9Iqfk3kW+qvKVx
tQHe9y+QItopCZNwnM4tmortjfUnvILatBnZQvB8pU+EqNdZoreLbEVPsD26cxLYMlyqTxMUbKgz
plQY4yKqL2DpQd8OKMGWEOHaD1VIqNfeZz4LJNiNY4zd3C0neohzMwp9ap6+PqPl+IEuRnrvKrCZ
XhCEkyBwMjofQyZmU7t0AFAVIzcMQ4RtRFfeKoXKtnTOVx6E+MBPPqwaQ/uiZ/CcjVGf3IwVK8rO
BSB33I627RhqQYjMIGk4hUPrAu7C+rT11/pDM9LQCfXbhCYP58Kdm/aHrbUKxmhFBzMgBcFilNtn
mm3O7zcwmF8mwD+vTC1XZkKrc1J54CBbJ8PMIeoGZbHtnDd50Y4TMkNQwZb1aQIpyk00CrHs8B5/
MBVebu2EZ35bbIgTkqwYWwkZ2L2o9ReS9DA6aYCpqB3QjugQHx4Ghqu5ATC1dPzpegP3P4kwmvez
1uGUNmnJ+WQoUfqY4EtFmGxqcW/f/Lh+IW4OIggkl2PqFiymhzcnv5ZBgZL4U3ULXKNdZ5Qk/XD1
gXb44OPbt/oJYmUSzzj8T0S/jn2sg+an/trarqhxihaa6Iw90lCdbLx4+fZ9dlWNg5Y2bmTY4AtV
ygdAdo4krQKyk0YW2N60RKPsfOVkBvoYO+iEX1BrD+j/h3lKgWLJ2CwS2yOirluykyMqFgLcBBH0
b9ZhXFrsXGr0NvUmYlr7KPYvlcJZgSz3QFBE7WzX9amva1KHMLvBQ6TAjPS4LSu+s0pqczcd/28K
j/2LTBbFgkKCXzR35TJrPi7zEqqY59Kc+PU29qPink7W/+aP3h6oR0n+h1ImFTRR3zvISO0eavfE
b40RLnjm8mn5jz8M48TSXQqSFsDG3fXHuzCOvP5nmONRhNRErggsibgoqnHDvUl6bRrefsNuPt/+
m7feYLmbdQEj1dFiZEdJzYLukHrTKNyqUMCKCzDrwSwoJxb9vKBS1YHOAjqSHJWyk4C8Axhb0DG7
i/7W/UlQFaH2KYrbw1sDpGY5w6Ren51ASR8hUFGc339vWzuxMEqwhbFRxIXNGtgWMHg+ydfX3RMq
5iCOFRKu4jraAqpKetp2NE2zulsN6Qh4gTX9dw9CXT0xLJDWjtpv8aPV7zI/OichxrKbn+7MGdAs
aIppdDuz64n4YaN+xxxoFBlYBobdH/dHs2CzCBRT0SGfGtwmoKgiawc4A6glQMEPdGN3HW8CRTmh
fcggndoZ3gF9fvaAetzY9NubQD9x4V5AHfgvO7d/FNL9BNUCTqxKGUpcgzsKNNvqP43EJmCRaw5O
D/rIu4tltT8LbAKTPi3FAq63uwZoDx2DnStnD+0TAxw8TtEre0GjFc600Oll3Ymru+GAdoRGglF6
FtgR9MoTJgKQ2l2Ha4GQjllgQwhV9GF5BZqKXof8IuCwp9HRhpRFXEe+kaq4eM6miij24A5EOj1d
WXuo4/JCTkLPYPf6YpHvHwWujd6Kg618NhjdhA9pE+iq/CbQ2AS0HeD/dNNwtArg7iEIU9htRrdH
hmcWdHCOkntBxznQiALpIH1xFtCzobeDIAH7OLSzgOUp7Rth9Wh5JjPY74WjrUCYZOuORgg9uPhI
g8e481clnALab/i0ZEp614jltH8S2CRSbMfUlN4zcv9X5+FjTHFPJKw8P44OGpEEa9WvuARHI/yV
LCJGxPc3bXb64csTHNHBTkJxL3gcljGEn92RNgbKCY21sIAdZwjo3HJE2z3g3+78+199+8XTBvCf
nxeZ/1jsf3tdB774a1//aIy9r48UGCaV440kgbiOdoBjneiAGExqwD9+H9YiIHQTaY1f2QOvzoKh
n4BMpzLxfAwe20JxTALy4KgY7izo0muBbAi+P4Hwy3kCVUVsztxR9g01OKBlS9ojALsjGjGfI6Dj
HeFqJ1Aaki99jiQH5xephG/SjgGWETU/OD370+8oXKaEwG3EJPTh8uB8ZBWBDtnUiWFy+pF7oKu3
swFHqSPLPYHEHFQYhcDdNTgbob3Q4PzbCSScQMoxOELdS7p8630vibUA/ArmTyq8u2twOwJcmiD2
kLIRImrUXR1065GJhMlUxXtwLFhOB/v62i+6ia+bSDJH5NIJg/qCydEiwCKQa3fRIn32lXfzPaSg
WTToSy4CQ7hDwEB1t3eXjuIl1zjh3NEVpmFor09SS5FdBDpVM0hd4eB9paSqs0joMCGb3G2Fzjsf
0CIgx+/IWgVYiE2IqbQdj9HBQWieaDReKGyUgZoDcjk/cTr/rjkwNGqqJM8gcvrxkfdnYSdXDLUy
kJiBnod4Lo7sSUDYjB6zi6rCK0bRYi3QiAMwupuFwbkGtEhJRwzGCelYQuTnHOGRf7SrL4uKioBn
i2twOTSBl5K0CRwHxMcW7AB9cHhkEyir0WgClR32p1srQzMNPWm7nHvknEABYOMoHzqHtnUCEQKr
xO1d5MGZBIpAmnQCgWQ6hVNAP72PfBQuoexARUkFCaj058XQ1gC0F9IeMlwZNBsp+iuTICJn9ChM
SmvdkTi4nDKNsdKTQNaUWAlW5+do6Wg/mLjJgqhC7QvRg5sE1YBnRPJMpOdCd1yEJp+PvOP9oJJZ
p/0QX2lwjjIYXuluA+EicujBGfmyj2TTm0jXEWT+fcg8uFXwEqXOb3uKhIRsdyIm9HLFdZRWdUgs
KORcneHGjOQ1pPeC6K+BOVQVZYYXZsFG1ERH7YTAoXMPutzdkIImHf9N8kTYOUEcjIpoad0PF1gg
IpwSG6HbK4PzEUUgI/n2FnkBjL8wjN0a4NQ7nATtRKOcSy1jcP4R7r0l6yMbFFBwgGFP7nNkR+9P
rZHdIbIKQ3UNRFFEchHQkA7dLP3ooq1m/+tzAkAxrYEc7H2CwcWK9A72bYESxXbcQ3pQXSbgxzm3
PwuOSa8BtTwILLrfB5dGpoFSuuFEc05MkBdQhRwFShhD9LZ0g5L2DzMxrEorlQ5N2j12eEuDjY61
210MuL8IXKpvKJASRPTucxeZDckYPsNl/vudQBpVdLSCieutwbFfZFGUp0UPLY1uJ3TH7y9Nwi/8
0Q/A03jlh087qJO/zF9CRL32B88Qn59/7+E9Oyk4WlMO/lAgn7p7d0Af8f//eVBw2EGQ9n58hiTt
7tP/8/4Ff771wb2e3+r5P176y2yRPa6a3Q9N/5g3iw1wqf8LF98Wm8V+awWeGt/kryf5xx8Hz7ln
CP7DwHlwNK5wJaTHhccxjg4H3iXz5AcOFlG+yJ8fUXzGLjEgO/J4Efrf4yzyD566y75Jjx2HcbZ4
OiD47KBT8iNH0fKx8B/LYn9KusY72cEny3BRL7Ll/shdAkJ65L5Z6F38/R0E4OXm2+G0d76M7F3O
mXX/6eB79gZSduSLZZx5h4/cV69kR75kxn1/f8bVLraRHXj6tFgdLMA+iyI9bhj6Uewf7siuv0N6
6OjJXxydIl1hRHrkuD5cFl3VSXbY65/Pps4jkR6YAcrHoDlYF12hUHbo93Hp5z9Nc9e3KDv2bOFH
B6dH3/IiP+7ruq6vk+r9qB68ZRFnizxfPK7KfFkUB2u6x7lJP7r/uPK9xWGLbBe7yA+NLUC2+WBl
a11PgfzYb7IMyk46BIYxKuP7y5u+INEMIf3gcVQcnSE9QkV25Jvlt2xx5D31mQj5oavFod2ih1R0
T8oPXL+7XGySHLXLg43Z96j+HeNfLbN8eXBS9Y3wf8fgs+XWfzwwYwwuQt6/Y/CHOAueR9rFBx2I
RXroOCtW78YLGLL9Q2vWd339PTeYLILjvQ9JAYka2eFfo6aX3PQfghCP5DCq6cFT0k+cLb1jFMIO
lCc78O0yivIGgrOjMEHrsvCyw39cxU/Ld9P8J83yDl4qO/ynuHxlIfYo3r/nBj8vRDE8NQPZ4e+Z
/WWeLw9Orh5jID/29jCq1Dt0v+y4n4vF6vnNd7whHWmC7LBfltkGy3YwcsdGIT2yT2RztLz7gqPs
0F8X2J3IKw63JtU1gRqWHnyZF+++vPTwHVOL9Ph+jtJX7h94bj0XjvTYTQyCxnuehN066Xo+3h75
pUzTD5acn/NPz+w3L/2zw+Sa+IvHcLnI/vlvAAAA//8=</cx:binary>
              </cx:geoCache>
            </cx:geography>
          </cx:layoutPr>
        </cx:series>
      </cx:plotAreaRegion>
    </cx:plotArea>
    <cx:legend pos="r"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1">
      <cx:tx>
        <cx:txData>
          <cx:v>Family Median Income</cx:v>
        </cx:txData>
      </cx:tx>
      <cx:txPr>
        <a:bodyPr spcFirstLastPara="1" vertOverflow="ellipsis" horzOverflow="overflow" wrap="square" lIns="0" tIns="0" rIns="0" bIns="0" anchor="ctr" anchorCtr="1"/>
        <a:lstStyle/>
        <a:p>
          <a:pPr algn="ctr" rtl="0">
            <a:defRPr sz="2400" b="1"/>
          </a:pPr>
          <a:r>
            <a:rPr lang="en-US" sz="2400" b="1" i="0" u="none" strike="noStrike" baseline="0">
              <a:solidFill>
                <a:sysClr val="windowText" lastClr="000000">
                  <a:lumMod val="65000"/>
                  <a:lumOff val="35000"/>
                </a:sysClr>
              </a:solidFill>
              <a:latin typeface="Aptos Narrow" panose="02110004020202020204"/>
            </a:rPr>
            <a:t>Family Median Income</a:t>
          </a:r>
        </a:p>
      </cx:txPr>
    </cx:title>
    <cx:plotArea>
      <cx:plotAreaRegion>
        <cx:series layoutId="regionMap" uniqueId="{7F8A1068-7636-4036-BB57-230F22EEAF14}">
          <cx:tx>
            <cx:txData>
              <cx:f>_xlchart.v5.2</cx:f>
              <cx:v>4 People</cx:v>
            </cx:txData>
          </cx:tx>
          <cx:dataLabels>
            <cx:visibility seriesName="0" categoryName="0" value="1"/>
          </cx:dataLabels>
          <cx:dataId val="0"/>
          <cx:layoutPr>
            <cx:geography cultureLanguage="en-US" cultureRegion="US" attribution="Powered by Bing">
              <cx:geoCache provider="{E9337A44-BEBE-4D9F-B70C-5C5E7DAFC167}">
                <cx:binary>5H1pb9xIsu1fMfz5UZ3J3AfTAzRZu1QlyZYtq78QZVkmk0tyX3/9C2qxJXZ1Wxeji4fC07gxsKtS
TPJURpxzIjLr37fdv27ju33xrktiU/7rtvv9fVBV2b9++628De6SfXmS6NsiLdPv1cltmvyWfv+u
b+9++1bsW23832yE6W+3wb6o7rr3//k3/Db/Lj1Lb/eVTs1lfVf0H+7KOq7Kf3jt4Evv9t8SbWa6
rAp9W+Hf3/9RRHtT7sv37+5Mpav+qs/ufn//4l3v3/02/V1/ue67GKZW1d9gLKEnUimJCGbq/ke+
fxenxn982VL2CSUKM8Ykuv9hT9fe7RMY/5oZ3c9n/+1bcVeWcEv3//985Iv5wwsf3r+7TWtTjc/N
h0f4+/tPRld33959rPbVHdy8LlP34Q1uOt7Ep4/3d/3byyf/n39P/gGew+RfnoEzfWi/eukv2JxH
8T5Ik/3T83kDbNgJk4RSzh4ePcITbMQJQ5IgJMQDdurp2g/YvGZGh7H5OXKCzfnpUWLzR7z/un9T
aOwTwTm1OVIP2JCX0Eh+IikixEb2QWheMaHDyPwYOAHmj7OjBObqzhiICnd3T5/cN1k1ksJTR/Ix
Ytl/gYZQYjP6BB28/hBNH1bNq6Z0GJxnQyfwXO2OEp7lXVr4+i1Dmn3CqbSlFI/rQkzAISeUUiIo
egQP1tVzcF4xocPQ/Bg4AWb5x1EC46ZxWuy/pU9P5w2WjTwBHsAYovZDRJskG4wgG1EhCZ9A8pqp
HMbk58gJKO75UYLyMa2r4N1sH6XVGy4ZSoGBcUzZU5afLBmM0IlNEFWY06ePw0Mke+18DqPzcvQE
oY+zo0To+q6s3n3WENPMm0Y1CVHNZkLiv4lq6IRjIohCANb4M1lCr57WYaQmwydQXX8+Sqh2d+27
m7SInj7S/32Eo/aJIsqmIyt7QuG51BHshMMrDNbaA2fjT9d+WE6vmdFhgH6OnGCzuzlKbK77FHSp
//R43gYapbjN/0aFYgRSh2FKQQk9YPN07QdoXjGhw8j8GDgB5vo4gbkAOl32cbN/0/BGEXgEXCAs
f4avFwtHnEgipRLiERzwEJ6TttfO6jBEL0dPcLo4Tvq2SwtgCu6+SGNt3pArEOBoRBGh8ET0CHWC
JSOSc/4Q+6ax7dUTOgzS9IYmMO3co4xzV3fdm3pt+IRyIqnEj+toQrGVOiGQnGAdPdKIyTr65XQO
Y/M4bALJ1ZejhGSbmmr/lkuGihPwaRhWoDkPsQKMFJA7hm1OJvT6FVM5DMiPgRNItldHCck6bd8w
hAFLQwIsT0EP46EImJ4IcYweX59Esl/N5jAkD6MmeKyPM7mcB/oNfQFI/hTsf0KVOLg+JDihSBEm
bXzQ6fzVbA7j8TBqgsf56ijWx+0/1i4eiNEDZX7xzv9p4UbBOiBMgF55aaFBFgGmRigYNg+AgF/w
nI1Nail/P5/DyEyGv7iF4yjUfKr2wdMj+e+lC4GkbRMBduXPx/2cHGOMT7iQtm3zSaT61Tz+5vnf
z36yMj4dZ+bY6ttA+3vzdmiAWSYFFQqsmIcPP1Co52hIdiIIUlAve3x9gslrZnQYl58jJ9hs10cR
tV7MGkrNCzCY9bc3TOy2PGEKRLxNoEz5AhMoMUtBqD2WMsefiTv2ipkchuTHwBf3Brd2nLWy07cu
/Ut47hS0Buj2+5+pHJEnREIqgSxzMJH8ej6HYXkaN0Hl9ONRrpPVvt1r/XYRDIPcwEgKRCZ5HUjY
CbPFWJ55YL4A1/O8/uuJHIbjadwEjtVxhq3z4s5P3zKhEDCNJZec8B/09nnwwjYCZxIUPZnA8euJ
HIbjadwEjvPjbIrZ6rJM6+IN1weBqMQFdCMBwb3/mThdY8OSEFClZNDXNP78JcP/ekaHkfl5LxNs
tsdZroRWkjJ6wwTP6cno0I8W/kFkMLNPbKEgy6tJhv/1TA4j8jRugscfx9mktLtr9m9JuEZlwjiF
wvAjr5rkd4z5CQdlP5Kyp/z/PKH8ej6HUXkaN0Fl9/ko8/spPJL6Nuqfku0bKEaoZdmC2JT/VZzY
EsgYdPw9hK6J4fiaqRyG5OfICSinN0cJyjqGukmqy7cDBWwubFPosmA/a1jP87yEAgoFFsDkIxlW
T9d+qEC+ZkaHsfk5coLN+jhlytp802/q0EMcG9W6UI/IKHj0L6DhJ7YEmcLVY5/sZNm8YkJ/g8zT
nUyBOc5mvrELYXNXlHdvGMvGZQNtLYqRw2xM0NH8YtAh/xDR1ASb183pMDzPx04Q2m2OMqx9visS
qG89RZb/PtWAHYYEs+F/wLierxkBfZjQbqG4JA/ATNr6XzGTw6D8GDhB5PPVUSJyrcvb1JT6LRUl
LAl46IxA7/jDz0toINMAOQBSpg7bYa+a0mFwng2dwHO9Pkp4Zncx2C/FW3aPQ/UE3BduP5lek2QD
TWLA2zgl+FFeThbOa2Z0GJyfIyfYzOZHic1Wj639b9sKy0+gDolhQ9Jjd/hE0ShQoKO+JPakp/9V
czkMy7OhE1y2x0kDztJal2/M0NCJGnvDoMPoZSxTGDrHMBS/5GOsm6T/V83lMC7Phk5wOfvjKNfL
QwvVm3ePC9hQwQmSQNMOZRtADQKaghXzxNCe2Mdj0+t9Y9ivZ3UYpJf3NMFpNztKnNx9rL+nxZt2
WBJxAhuSOAed82CdTQIbvq8KCFtg+gjTS5ReN6fDGD0fO0HIPdKVBEJntU+yMtBvSQ0oOeESusOh
2eUBpEmwE/gE9mhwG+TQD//zpZ/2ymkdxmmUO8/uagLV7jh6Y17MGqrMH++3zPwvNMJC2QYRRe2n
VssJVnJsaYZNZtCd8RAVJ1WC18/rMFjT8S/uG27bPcrQt90Xfbw3356Cz38vUKGao0YzlE1pNoeu
MthNAxA+4AP4PV9Lr5nJYWR+jpxgsj3OdLTda/OG+ocyoNiws5k96Z/JbjOuTmwMO2SgR/MBmAmj
++V0/g6V+7uYQnKcyud/YYMZlAxgNaAxZt3/TMKZgA1o0MYh6dPmzYkqfc2MDgPzc+QEm8/HyQ2u
98AKjF+9aY8AcGxoAID9f4/nMEzWzEOPAOx7fqpZA7t7HsxeN6fD+DwfO0Ho+jgRclPwDW4rfVtX
T4/pv88zdORmUJqGTv+HBQQQTPxQQWBfOrYnK+eVszkMzovBE3Tcq6OkAOtvcMjJG+JCocdMIQGl
t4d0MimJYgxuKTihUBSdWDq/nMhhSB6HTcBYH2nuh+6a8U+W6beDhEBDvw0W6I9C54SagT/NGWyU
pfbjNtoJdR7bZF4xqcPwvBg8AWn78ShXzIcAzih6ty7fljhDQOO2hDLBow2tJgtnFKMYTkABJneQ
QL92Vodhejl6gtOH9VHi9Eehh/Qtd5bB0VogYMD7fNpPPqUF486AER9YTvdJaUILXjGhw+j8GDgB
5o8/jxKY7b4s97dBXd5VVfl2cQ42mmEBOzcobAh4evwvKAGgg2CLDZGTDTSvns9hdCbDJxhtj5O0
7e6+Fm/bTTgyNvA7CThqD/BM+zzVCZQcxp2yj7WgCXF7zYwOA/Rz5ASb3XHK0dE43N51+vYNeRvE
NvDWCPjRj+hMBClG/AS62KE1RE6i2utm83fI/LyTKTbbo4xtT2c7vjv//g6OQ6qTr298Lo1CcGYT
Hrcuv4htsOkZg1MNu9EPujg/ppW+blqH4Tr8WybAzdz/N8D9/UmQP47LnO2r/fz+nM1nh0H+86v3
DwJO/5wMfZT7B3XsgxOw/vb7e6wYLJYfx3eOv+OFTzA9a/PnmLt9Wf3+3hqpOQUyAe2jFNihQkDN
WzjyCF6C0jjH0O/DbSpgvwIbG7HMWNuDI0A57CTlCraWKGTD0XgCIik07d+/ROBzAgdHKDkeKiFB
IP843/QijXvYafHjcTz+/Z2pk4tUm6r8/T3sCX7/Lnt43zhXBmY8/CGICQy7WWCmMInsdv8BDBl4
O/4/uc5tmtk1XbNYSrdmVrMrTNUsBy/oNrGfs9VgpWHvpm3bf2NpKc5YRHPfAR+//ZCmNXLqMrP2
sYjRNmJU7QbjkSsehtp3eMbNzC+p2AVxU37ow0ZfJSWLl1Hd6HXic/xnmnlyHoci3Eibz6u+zL82
ZRiuOksW2tFh2xVOWWfDLcoiy9Wez23X6yL7Y1HqaKNMbE49QeJlTUqHdJXZpszWroq9ZGaFSbDB
TdmujU6SxE0sTma25YtNktdZ7Hhxd55mMl5msVRnfek3oSN4Z192Vq12Qkdoi3uNtj3prcZpUpIv
IDvGS5za/hestNphK7rAHa+3no2vBtSnM8y92jE5VZaD8ox8J30fOG3Sc1fixthukRTVheoxdXAo
yJxQ1pVOEet6yWKUfWtbuAgpSOTkuoiXpk6jTzkNee50MQ2XWdKFK1VW1aylbTJDosduhe36OpXa
O6/qoL2sUj3cqr7tv5iiJpd+JPsV6cNix0nYXYKI1C6ybb3IPVafoo7nXxNSd7PG+GKRNXGzFDiC
2/C7zqGRiVeNaW0nj2j9zVLE0QXrXaKyU9v4a+pZ3bzWMXIilJpZybxtEmXJ2pLWOo5ENPPzdLim
TZEv87xh330Vpk4ZVvq04rRdQi+Wt7aTILnAgxjshbLCaBP0pWfNyRDWpxntw89+r9WNyHkyDzXP
Nl7G249Z0+ZXyqN6OyCOtm2JusapC6KvvYqWZ2GN4o80pdkygWMPldPmKVqxLhahE8WEXA690Fvf
p8OiFyKOHSuT4oPRGW4cU+USIihpznir0YUq4LOS+hX33HCg8W3dddnO4zxe9V1NTnmVxcsk4/qm
lkJ/ybMA74yfsctExsOqC/puh6yGnNotS1dFnfrnFU3Lq3Agyu2SMl4nVr3OjNd6jjJM7uw8s28M
nCm3zX0arTWOs1UYxjRxkqiMFy0N2Hmctad20FL4OObFykLVvA582J5cS9Q7fRfhuZ15Yp+T9o7l
XbL2+6xxkj5h6zT36ELITM56YezPhEa3fUsy37V8at8Iaa7ShgyfyzLrlwMy6DINODdOF3jWhlkl
ChzYlIV2QYMZdluL5/vSK8IL4Ud57MABX+pWezJYmgYG+YOOP0mNErchVjFHTZSchj6A2BKi17yO
+UzSOPkoSFl9hXzYFE4V4StwiNe+3fJN2uZLYyR3By4S4+g4jC4JxvEH5sUr3rfVhnuDWdMoSWdl
VkdODcHypkqVXguWeItek3wmyqpzPNOFH7IS0buhy1OXRGHgDkEfOWHGoi8CWd0nYTLrMrOT1AVA
BXKKILJnOcfZhVV0izbm+WleNDJ0lVqwKkyWXtmiLZy9FC/z+LLxvOaL5bXpLOIEX4bIJysDndGl
G7eo2RnUFLek6mEmFM1a1Illittu3sS4tuYBGKBfKtHnmZOhIdZOK/p0bobePx/KNFpaXTVop++Z
cIum48qVVps6vtfPazOUpTOkdS1nSjWf/KGnoRNHKpvFhZ9DmCt17AC5GU5Tq8u3vfHQHGPrS2hH
hXR8fyBzHSvhQARArioMd2NLX0eyResYlWieojB37DBKv8Y8GE69NFCXLJF8XZasS5zBt6pLXVnR
TAjjMpOVex6KbhkiJi9QyZPKzRKCdo1MkSu9ZIgdW8Z8npBUfVaQNXYDDYLrQlJ9lgzNn2qo+Aoy
4uD2YdnsSp9q+Ci14VkZcuNWvaXOkpoWF1Xo5dsQtflny9PxroySbJ7i0l9glfqzwQ6yOStzch21
ib3iFdxl4cl0EXShfTcIv962TGV7SvIxudQD/RIksf5U2biJHa4jtSCh8pf1EETztPdb18JecIGx
hiCuKHMaP+8+ohoevQnYMOv7KpuXnS1PJVUsnHVxGpwTEbbwQcOtqyzKckC2Hpa9T+ql0V21jtSQ
fYprb6lxFs6j3hsuoobQedY0KHP6Cg2hW1uGOszvFjxPmx1ufHujsB/92eZ2NGttLp0GQ7rVsMRP
S8/OVgLLLnWivFA3Eed6lpgWfYm9wltBZArWXmXPepuzi6EOrduMCrTJKmktEl+U51ibeM2o5S04
9cvLuG/lJ7+V3gKjHH0MGo3gcsKz3L63+IIEotgVff7VlEN/i4Yawn9dVEPpxB31lx1p8Wwgkjh2
aZ0yg+ymckyhu9yp05YlloNNjTRENI0uoW2wgNwfhv5VzYCIOGGdx71riKoucz+PV2kAS9rpMhFF
zlAWrXGEJ/PvqsiidRMHtkO71jrTdjLvpUkumsZEq4rVN6xgvgOxNg8cWbf116jiN0wHe+TV30U8
3Mi0+2DwkLjW0GZwvTxZF0b08yLXV3buZ5ssEOKqySL7cxS25pYo3l0XHgxsDLfgo677qog2mQ93
UW+yvMybahnzLh/4FqiW8bkz2BFic22nFZ3zVAdnHRxWOavbrpYXeZX3/EvJve+17olcxU0LwFl9
YGcLqxka10vRsu6B9SyTIEu3Osut9CaDAArcSzUz3HnRIo96P9lIKypmZRvaMyB50Sn2e7OBvZ/i
hvUs/xMJzw8vvC6IT0XAcHFVB0PgLeMhigfjdmU7pKXjVyz8JoOutD6x3OvYHAeNZ5zU0lG6zoUm
M2Ohflmo1CwaXl6Xwm+dovPjGeoBycqn151ltyuuM+H2SVXv4J3dQsUC6GQcbHRBz2plS99BVsqc
yIcsY4nGWgEX+WSGIJ4H3BYbyCDWx8DS/lknYuz6Bve7JvDzXQFoboaqdapAt3saqX5TKG45JbXq
JTZd75h6pFtksGsHeryLU63XkbeIBO9nTepVKxkT6ka51MsSznV3e49eJkNQzsLc8tcD9at17Xne
pkhsvamQf8ZxHLtI4Ows8Hg1632R/1kTHruyY/1S541ehFWp5paPvHmh43TeejTrnDSIIJF5Weky
gHlVo8x2qthOlgx56DutPaDRWZTpTjvQMou/cWm4vC5RbUR5W1ORR+yTl1NgHK7OY53EzvMz9l+w
/9s06wvtB49fcPDjr/+5ShP4c3/o/s9/HL8f4eff4NiMhy9W+Md3wenNYztiOX3TKOJ+/K6fx/uP
yunHWf8TKfbwVQx/o9P+8cXXiTgbMwSy5+9V3IsSx0/x9zjuSclJsE9gOxqclgGdGBio8k8lB74k
bLMl96XKJwn3TLLBjhw4/wTKaTZV9rhT+n8i2aC1/aVkg1QCBQTQgLCjGppxEBsl3TPJpoXOWZSV
0ToJ02ELDGxYWHZp1+6QAL1jVYBWVc6w79i48kMH5300EkbbnKU07T8NXp3nTuqXtu+kES9iR+E+
LdzIs7uLQlPI6b2V3QxZVAw2EHbIk6eeFn09N2Vmzwmuhq0SPpBqBTrL6QPaRbBUTXMnQklqN9d6
WBQBUaUTwjHKH3KrB/4Set1Stm13MQiYb0aCfika6m1S1lna4aYzZzBNZhyvNdmeKDMsoIM5mpna
Iuu+7kPs8IBaJlvFfebXxUfsDbW1kV3QYqe3oHr2rfGJzxetEpb9GTWer+dJ7XcF8P7AYjcBUn0K
K69VVXCaViSCJNUmedZe5LaoA0f4svV3g7ICuUijHvsfWh/xBYqjJKeO9hMkF3bZVGhmBXA+xxrT
8Z0+DpT40hVRZpZApbjjW5FmDu+DInI9DMFyhlsJGdHFEcc+kLKEe0hwJzf+12Rkes3I+dJ7+lfe
U0Hs5/LLUHeVNTcjV2xNLpY1H2YV/M1JR0bJwrzZCRkCzYxGxhmP3HOAbDNrRz5axJdgH4A4KRLQ
sCVIXKkW2T2JbUY+WyTtIqd5dpGPXJfd096q1qlr9cq7bHjffYpGfoxGpixiE7iE1alb6YjdWSOj
liO3zlWXz4yy1CIwWK+rkYOHrIycNgjSmRaFWWtlqg0F0g5NgfGHYOTxDYh0yOMgw10DNN/CwPdL
IP6d6q+EKUAKWEqVX1mKvQ9JFIhZN2qGaFQPqK2SU4Hicl5mNHGDUWWko97ILRws/S5Vt/xejhSj
MmlGjeLfy5Uu69FO9XIInCrE1sbcS5t+VDnFqHfaPB8+Ezu+Ci2QYJz7IItsEEgaTsf9zEfNRFtC
F17s0bUfJY3DR21VgMjyvFLuh1F3qSwFCQYZq9oXQzkPB12s8KjUIpBszb12G1UcaQaSONz3QBKO
Ki8d9Z6XCnzT2bXcYWFADtpttVZhFK8N7ZVbj6qxHPUjGZVkRBJy2o7qMh51ZjIqzmzUnnWThV9y
E4Q3gGi87EaNWqdDvKqNyXbRqGCzezHrjbpWF2S4yFnVnCWj6k3uBbA3auE+rCD1WBaBsEI6vZV9
QS4VaO3QaWFJrOKu8Cwnk1pvDPfJeS3r8qwZ9Xd3L8VJD/ooixq9rYIov6qjuv2oR/VOIt/MrQ4U
fTpq+6Lh1WnFUmXNuxoMIHRvA+DREYAdwd46G7p2WQ3In6FQyUUxeghsdBMoZPZrYPTgMChrbUbP
oQLzIR5dCK8OEHB11s0xWBQ2WBU9Q73rgXmRjS5GPfoZZHQ20OhxGJaB24HLZlloIxZ2gLrZMLoi
2b0/krd6EdNeu9zQ9jJMWb4LRkclHb0Vb3RZ6tFvYR5uLuGBeOddmtXXw+jLNKNDA+ukmqWja9Pe
+zf3Vk4yujrZ6O8A7LBarDZfKBFl34jFq+UgE7CEOg+Recc76uSjYyTuzaNm9JFCuwFWWzL7O6id
kfeMjlM/ek8KTKisi5pt4CUXWVOpnT06VfDND/FyYCpfdPdGFho9LdA6aKuqSO2sNLEv+66pIVGU
vTpLU7C4FFhj8b1Jhke/rK59OhuoAhPNa6turSPsb7I0BHNPcu3CwzDbOq8cNTpxcvTkLM7CjZ1T
/JGD+WC7qLI8t8x5fxvcW3rtvb1Xj05fOXp+ERfzDoEBBLlEzb08tf8MR48wHt3CnGp9hYuw/OCL
SuzsUU5bdQ6asu6j/FMJ/G/XMTFsm9GJzEZPEtJn+yHWKRiVsHrEmRndy/7eyIxGT9MY1m4sP2lA
zeNm11QF2dixbRZS5/nnlrHyArieN+tpMyyJ7gIQK3V2w1WdfpWVEd97HVUgGavSd5Tyv7VRF86p
HpTjVdmiTWV92nclmwmMKtdKYZ6gBktrLTEICgeVcF50lkgcu43dktjlgxVu4oDmn73aVPNUZOla
skR7LuNh9N1QnC9K1eTX0jecz4EiJl+J78ulyTtvW2NPnjbSWKDBhmIdKLlSdWTHTm9DfnNiWsW7
Cr575TyUSbmNcA+ukSzTTZ5a1darLD4LacR2bSwax2pMfS3BJ3bsTDWlCyy7k05J2voy80t5Nliq
v0OkjoFr1xrStYJnfBq3lXUVBIzf5DqF0BNZKXXS0grNGLQzkEOD580rJNNzERmy08gzEJaafhbJ
uMdO6DG5FBUcfwZucquJaysrdxMcpG6XCrmP0JAtkCZ7Wpfp1vIN+yh9v3Qw6shZWykKYbC3L/p8
QK7vGVD5rNzkMcHLoardpjd6psLc3tayCsFiSgm4PCa9SH2bfBKyauadsOJFnqdsafHQZA6UaeaS
Q3KMI13OrJRk635A5aVgPr2tgiKuHFxlAwi6Rn3ELMwWJi/tBQoKfMW8MKDgNmf0IvJyL3DsplOX
sW/EsoVzQt0WkTPpFS3AnlC0zRHeVpR3G1XZco61ld8FtbYrx+pbtfKqXKyEFWZuGZegjb2+vMiG
OLuI+ixfhYFtrzrCjDswbbltO6hh6eFCXAMXsK86osLeqRkR3yWYjTdJKtnCi7IvLI/F3ArVJbGL
MoT7Q1XmAE8pVzaEPN8JqzDYtFlhrbmxS+3C6bCFB0k7H251ViS5U2qv3dhgHLMU0lsfSR8+mrRc
JGHELkABRQusIVnXPKLhopWFCGckH8BE6yAI74hf57MyLz4bVCTnTdvQzPUGRJeQ70Bk0jqaxZXV
LyyNxcpOY3kusOggKwh9AwSNl64VSiAgvbeqs9Bz/SBStiNwgSMoY/jYhU92fNGmWRO4Be1C5giU
An1tyn4eWVH7gRcFODoDadcc9ea8ivIW1gnhBXw4lPgGxDeYUxrZywhBWIFvzgEy3QFTNU5lo/Zj
g2L/E4rS+BO1gQOCbTJQl3l5fp5FlTodwINJ5j7z1khkdeL4KCRgkqeQwRzZeGtdN8Uw63wSbsJK
qdzRDdY1UEyVrpLc9ss7koSiVJETVT2WmUNyeeY1LJp1lSw2LA7yS7AhyJbSot+pvMAzFWnfrcCd
2gSmHeY+EP8vA5enIeVXPtftrLb1zmiG4S7pJokE/lMLajuwuSB2c48roGQJ/4KHxl73ljBO0wZk
ltdWOc/IsC+C/qsW1qXM6OCooOGzeMCBU+YauWll2iUiFkhsFoOpkNmnOsYJGDv+J4CFLOpeUleV
qp6RGMiNFevzhmqyLRm9wSX1nK6pasePongWRbIA4zCGB5O0yomTPnMkIZmTCmo2fpCThanlIvBN
v5G6OQ96ClZ2YeIItHmauIibYgEtJrY7WN3gelFNZkPaV05Kk6WQXesMOiQ3vWWDVamHzE2UXCqP
ifOOB5EL5apoa+Djt7dKMbcF866SquSrzPL6DbNLtB3twlnjt9QdZAFpDjqb1+B7yEVfVoOblR5z
e1q3TpZW/s5YMWT2KOzPGYKbC2U810OVgE7IisrlmSgfBP7Dd+gdqOZBg9nzWh4IQw7HChA4QpAI
LkEfvhSGgUd7KCVJvQ6TEmSd1QlwNQYJUZrVEf9IkclvM+BSBlI2iqAB84dkPnBx0Ld/uTiH2hEi
sOcUtmRNLj5oU/B+yPQad2lxO4SFOct0HJzLSEUf/vlSY03yWc1yvE/Y7A3/jepXivG43RcCONch
74IELpXZuZnDGuljx0Bt9O6frzMe0f+XC1EowoLoh64JPp4O9PxCUdr3tIiEv64zr18EsqBQvejs
eQxfjniRF1GkzhoVIA2gJ/tM+KCo28EPzi0vGMW1F8Ds/nlKf4UY+mvgJGEBli5oWjHR/jWqZFCB
yljnnRm2KCn6JQlbUNA0hrLiDPlBcdvVDeCMCw+O5ACEH8vujxA/VI+fOzjPDZ3/L/0jAq21gMOP
xfCXLoDJt/38dJAeRz46SEJAGy983YOCWhUby/rwSx97AeDIbs5sJSksHNjJA8v4Ry8AnOfCCXxL
0biVAZpD+Aj5Uy+AGDfXQ7uP4NBUAr0j6n9mLE2XMEQM+FiNX2sFTd4wy8m68nvaxib0g3WZiPo0
lYYRx9hZeUr6hM6AR4JdrMIh+UAElAMSP3YQmJmzGOF2FQWFFc49rxaLolLFR9idbkHJMFaftazi
JUgV3yG6Vulp2rF8UUOJKAI2ELB16Q2iWNRh7Q0us2jLwR1lMYP6M+OzRvXRjEHhewX1y42R0DkA
ScsvHD+R/idsSuU5DSs8V/Hwi2rbz7iMPe5QrwSjq2oGF26pX+jGQrOKhvWl36Z4A4VGqOh0pmzn
lWfFDWQLL//A+lyfwRCczQokmmWWWpfay8JyBuWjdvV/2TuTLrlxKwv/IvYBwXnLIeaMHJXK1IYn
JZUIDiAJgsT06/uGXOWuUrft9t4bH9tSJhUMEnjv3u8+LIGY7py28ERlQD67ZVFn7Ov2pZ5tsLOL
ZA80k7DqM3f75MPYy4pymDGt3w07qIJqzJm2/LlhUbSjgZmLTuKPEyL8c+a3n6Ye8niDavQuDe0u
VQM6B0GmslGTalBxhetzP3fJQz35aD7DgEAMipfQ3012wyceUs+V2VZneQphDT6wgmJmxVDi39yX
cFrDIpwynlMvSfLaBJ+3vp8PsLYuSWjp3t/YfZM6tZbUknAoE8VoEUYQMMahceFl9RZV53KM1zyN
3ZrXfD1kelw/hdJ2XT63zq88RZci7CwUjkWOEb6PaLu4lB7Wjry3HY3KDZ+l6uv1tR4tOWV6+WR7
i+oAWsyXRXf25LM5gWGdsjLq7a2OiUoUEs2TDMdgLFUyDXdpx8UVohTK0GzgLMlnPsX3zSbjhz7w
ashziXqH94W2VkxdFTWxuWBj+m2lQQOzwLoYDWbbPDjdyZPJhnzp4qAIUt9chriv8wEQR7mNXv3o
B+tbA3GqiNakPzLUwM1Zr2RQjyZrJvGxoAf5AjNy+9F2yn+M+RzB5xbBcx+HqKqjcbtEEl1vsSqO
W6ZnvtxtlHzRBkUwpCavopr8Fo78S6L1JAsejeKounDLhzYg93ZIfFliiU/f04ZtL86DCNepeqhi
UQ83uXfb+IGEW9Tt6ngah2JAn/uFNW4ipW+3FuakJ6TJ+27xc4dvuYqSlVftKBV5VJCGoB4ycpkF
GvfC+Bba30wfdOS/O5m9k2XLFyR6qyUhfD5kMHiyIkyYWPYopOmeNDT+HNXpS1PPvxG61TbvkmGu
FqSuDtGgVHrPhnDOxyxtiw4mz6HBmvOE39DkcP7ZFeXjOY0zfTT+yCUe5pCZYmukpncyk67Zp7VZ
mmJb5nfeevP2tKw2wT9J7jpvqx/UNk75Ivr5zqpAlVLFZreRbG/DgB373inxSB1N+WGrfQ7vHBry
uQ8gMlStnMchN2SKUIQGdZUEEzsyXvuVmGE0xYnnlf4MbyZcuI3y1Z1HkniHZpVsj4a1yeuYeruo
tirPiNW7MezavDFD/2aiwJa8E/qctskuHFeeo3LwNyg2Icr5pYsecWBxX81xDxVRM16kqg+LTnBx
6vrAlXD0570K0XMpnzd3WkUad6Bz7kUMJDpGaADuDNSUV92UbBvOqOOakg8SPFPbTGllvIDvuvkM
DfeN1iYup0XSo3G1qyL8rfMQkenOHwLR5vB8AVeJSVBSRrcm8djHKsVKtYjHIFuClzRKWRHHkD9h
HjJd2NnZfe1BrQRg1ffvrss2WLCJPkeh3+VYIL4MfdrlTG3M5FGSLTuK8H5unLoOrrE/YD8q/GmS
7Bj66CFP2nnbm1p+C+tYlHHC0PKwePTLiZLtWHM7FNNUL5d22L5gY4G2vw7qMDqBNmKoJ8/l66x1
XHDert/oiN2mAlsuLyGvs51q/OcGZfIh8Dg5t2jFimVMu/2QeDxnbjnIOSU5wuhpNSaTLfzRUwe6
jORIbOJDMezZMdahqTBNjQD20SSH9ZPu5EzoZYPbczZj0laGDk917GyRyAYN/pzJNK+X9mbtblNu
ERDN+Yy1VwMxKJFNEEeR+dzlHZTqEvLFw+JDd58MtUWEV/SOzU0LfcSkRT/M2GVdn5VA2vyTXUW9
05s4G85FRZyRwPEWUzR81lU3DPNlDYImd1vIjovLvqbZCv4nWr6LrNmqrddfOQ+3ivjWr7YN242/
sGO6yOaw6SEoeZ1eFTT3VUKfCTgdYZ2r6FGHLd8tnrw2tnvaiPQeNeseDO7rCV4xGkgyXJuEu52J
ezSRpm0iksdKxrsIjn0Ju7ZB96G29daI209hb22uN9zXJ7G1TXxy3Wq3OytJM1UUO+eS09ag4VtJ
YBuWh3qypIrH1JGK1dnsnnlLMu9NS2osPIYkdWUbSQiMqh8Tl0OJH4awSlbftwfhN899P0F7cMqh
lJH9EF5V7y94rCIfiALQgykn/sJ/s5NvohykhriHcOKxcu4W9zmYN/OZT8ScEvgG502Mci+sp9dC
8cTEhW97dSJxr7H0DzCsjGLrwXLiKp9jxUx7L/6wXdqVqOe6kyLZFuQg7PlT6rb2xAmXJdKRFU4Z
1TsLh/y7oJu3l6uOHqRNBYQT4QMHXLsx51B+AHgEuEG97c2OkaZ5DW09l0nH1xxEhETRwYPw0C4u
VCVx0ZbrafN1jt3NaXTAc3BeIEewaqXL7Muc2i1LgVgqsovkTd9JLYNCI5OtzUEIsJOV0NBLl0q1
HWEFbeeB9d7REyJG4VcTcFcEs6Hu/Qi6NWQAJ9pdH4msmtLMLSULtriE2EreZdQxvzQd6R5Ttoin
Lus0CskYuvoEAHcPMcnsFgSnDhAVwPKJ3iiSE7skMk8Wu34eQEyXtcz8C4eEGeUDvvw3F7ThLpbR
PlhhaOborDebp6MO8PMQTuUUqEPTehqaZiubKjAev4Y27mCLeokYCg5c9xi2Iflc16wrmpnUrGi2
IO13sw1HhcdlJUW7rOsbFm9XBbhJZ9g1X8MbjmKTiPAc32gtgF0RKNLZ0rNKrxsUt2WD5L2uMQSG
MGb8Htpg6hdxz7ZqjdjdHOl5l2m+XvSWRMeYpfONekmjRzksW1/JaBz24RgvVYYv7QR7RahygDb2
3QCx+5Kh5v5EbZyc65AB3GqtSi6SoDQr68ZvsjtOIiioNnlbeSA/27oHidtE4W7wHHwtE5HjQq1b
Cqjv8Xswh0oXMp2XQ4vzUrGX0Oxu6Kz9jXo1NCXR+h9YT9tTqz2/siKM35TqIUX2C0/qnSdalpag
lihAEr7s7LgGT5s/BVUUg9eZbNJXfdhm+8zwrYqMUmeXKH0FbqufZAJgohu1KbqopzCjZ/ZhhQYs
RKcphIQ4rXE++/NSCXBEBZ9ATgRQRCsvZvGOKpJ8pyM1l1m27poKNz/P2k+iAut592NaffmSjWR4
a3zodWVku+wEqKs+tWCVT2SuxS7B83omookfAxAmUGahu1NHcAEXAVVKwrmyY+Kj9idxFUX1VkwJ
TC0szXzc6XiO9t3gwbskqMXnbNAv0zIEOw9Y0zqL7r5tIDN2HVfXDp38GYuEKvEC4mVJFEXBgpUv
6Je2YJ6Yq553cWVDHyBir6zIJ2g4qBjC7jy3qFEGTgQKqHX4xvo4codkYLpqxRb/UOukv8fcsLSY
h8zcKUpNsNNLOO3+0///zBL8yxBAiE75H7f/fw/3/U/jD2UKP/J73387rw4HRPw8sCu4zWNHMuf3
vh99NjJTSOxEif8zHYDm/g+ABIGQ209Bx0tuuYGbJPBH3+/jgCMkSVGWp5jt7v9bPAmlSA//WeUi
aKcTaGnIEiALgKPef2n7uUikNH2sL347D0bEeQqjfUABEMUTOUNFTylHiZqsbtv3lONJ/LxCSvCr
fpy5fKE8XN2Sg1chUMaWbpl1VyRqFHP63MZAQ7E7bN3Y+lsxo/MZd2GgR16MY2YPnae1x4oxopSr
47INXCpwrStcsPluHCwsRqXaFLtFOo8XOCvmNHlckSNwcHtnw7p+6QIxn0YvfvPkpPZ6UklTEJOV
ADLnC4TQds87s/l5hCXmhcUtyLeWbfq2W2qsjOmiMnDJQmiQs66Z8hgg35PrVfQBfqvuAYVLddcS
Vi8VZatGT6S2Fip40BAQ+kbB7lLLkJZRNoFt5o1Irlm2KmykwOP2wvMm/M7Zrnsgg2qD/O0NBeNh
f5jhAe06t6BsSbwRvxhtRG0Krmp1T6N6fF+19Z90DLJmP63dWjIpIQQ0s6WmkI112KH4UnaRUG/r
EtrX2k1JXAD/nc3RTKnpUYhG+KAh9mr6Vg+duKC3G/aSYmsJ/V5VIB2En0t/uWj4vqglwkRXJA7Y
nLe9xtZUy+QVHpK50FVnct92oVh3TKLqyxUe9dILNkseRdxXdPVGjr14qIsYTonLVbcmeYs9xisi
xVUC2SBcppJs4GjnWPGDgD4KF0RB0Kdaa+yd3VTwhqoGxdBKcKObeY4KCDr6R1K35MOBaUKFgdDw
rq9bcOXYEj/4DbvaZQuP9ttk5md/XNi5j9fhDQhznNdEgcSdvWYFZskaUtIluefcLnBEGOg9NiWi
mNng46Hxja+qpoFob1VjQGcv2T20qnkv6mUrNhE2J5bVJsmngPfP8RBEcx6hCftOOm86rnVHjytP
eImTFOsvN7gViYLOz77WHP5ODodA9ftmFfSlhkp/1Ng/d3RQCcj6sZbPaai+ER15pQKoUtbpYjmk
F9se4QYHvLCNUVnRxCmKoHgIT1DOIAvEAUUzzuI6j6Tz/TJS0J0l5V5Qylq8ROGwXEVK3Ndh5RA1
RGNfIQvwQ+1qvIKeRzJINx4waTV78t5OZryKqINFvU5I8MC5vFnQsk9Ln9XTp7iBya+9bDyOWdt8
XsXATZ6u9fDUI0NUSNejd4XBsU5g95ekhpARhT15jJjYCrvCjtxNY0g1Vpbar8/zjGZxA6xyv9wa
NhmT4bfR7y06JAnjl4kuV8Zm+Viv3zrShiXIEl1EaRseOpSExRTSD6Pt52hYsOf3TWbKTNFk6UsR
RPgeYcMINm/xg5YoZXBZCIqbXfL/7Ir/r10xzFLEsP/xtvjnYz9/5uL+9gO/b4oZoMib0PzTrMLW
9kcoDgdghMCqgPzi/Fcw6diMft8QMewPoTgfh8khEoLRPSFsod83RGjkkK4xeYHA9gL+g5/6Ayf9
i62BGODv//vPoTgMr/11R0TbhX0QGj3ydwlOAP6r7wOKeVVo7tMTEdycvU7Ope5p/wSrvf/OR+WO
ul7DpEgGPGdoyOr+GgR8eUdBLee8TqT34DcJaXI2W/UQokN57R2tw7NojfnG1rZrEMgJRF3U4xZ4
hTCu2QHjAPqCoNKrjVb9CNkLmTasAkN9YvAOvytlo4sSW/rKzNQtuRuWlOcrBujYcpwML1b42SwL
26OK1FB1LBAbwMosavORB/F3GFx4v0hybIbBXbvMqM9rK8KnvvY2kAxqrn+sgeP3jafu+mFjYw5u
ont3dSA+wrpRn00jOPoKyX548GQBvjQRQNLFJA9YzzNeGhvIhw65hTsI+mg8M2xKPxLueY/T2KEP
SxRvrsqj9TEOZyCQ4EmwLuopCC+UdX1XkM75WW70xj7c3IzAGmtZRapm774NGgONlqd7mUCqwuYd
D8/WZ+x+i7ZjNAGPO7R6aPaNy1J4taHaE2wHsH85j585NNF270Y2JIjTMArlHLE5l7N+9JtyhC7+
3YIlmQsLVIEUbFDbOc5g0qIAEKet7ruqk37sbn0JkjLCZOfFqT6POgv8kGRzitYSWYVdrZLtSSUc
pbplYPU8Ir8yr07XIgPPPRWhi+dnAVzm5CepV0zU4OZkA3ASD5LkvZ/USCCljUPvENtpK5ooUW/D
BrIw3sI1PYOIwX7BnDVIFDVJdkJjUq9lw3VXDXJc7ke2LQUaRGHzIJ4FwEXDoHG0cj0huxQwQLSm
eUjX+YfEb9kO5Na2l14aTD90A30kD7TDwtmGbv02LkHsHeo6HYAlme6oglFULrNdgNhaDIIJNeVD
rBdVTvMYIcAXLEmOcizY+RPKI4hBvr53QKS6V0H62qhH56Xggyrfeeu6T3zVPmmbsAdO4V0O3/Ht
UjjrjC8t7i0qRebJC3ELsN0riRNeXxspspL7E839cFXvOtLxMbU+/dSkuEYtRdkN7jmUpgE1G/gR
0pEg5w716CNZMdXYUPGGFgrBW8hpYb+THMk0rwuW4gZAI8+h82SExAJHeKokmXkhVr/eday3uZes
tGoNJM+lCTjAIP9M18y/m4iPGNUUPpEwOyD0FV3cHNaFJQsB0jbaA3IhuO+38CDPFSSbckwXPIHh
KMjViyYbl1JuMCAW7IFt59YTBbdbtZ1NjoHJ9GULXFtqwfu9iLYNLAN34hxLsZ1ot/En648hMnJT
HO2BLq1PXiYfHcOL2aMJdmnwyfewDAxp/z1dprDs4pjlU9vJF2+jw3XQJinkiKRMayL/ecF2jZqY
Qx7PZJjlgD4NMAqKNlY3KWi1cM3V1j8E4fiahRDSGncTWKbg0K3NEwKDrOKT3xW1GMeia4mK4JYN
6WFxMYfbF9/u9qRfMOKDlUTZ7JhMkFboEKt9Sjv6FM+bLLE89eiElwhpvpBXGEYVmRx00XYXZT2p
hOlg6PAI+twQhm8JR/IKyQsI+jNjp2Rbk5ckQbp11vEAWaaRWFOSCWtH3ka1h8wSIE28+Y27Jz3e
XiShuwensDb2zZweJheGh83Luov2vcxUjUQOq6ZuK9YRgUYto6Zo2l5cOfjEfbLw9Nwv9APZNZBW
Tat2Bmm3HLjlWqGXIT1ew5E9akhnVe0CeDQxCkwwYUGHFzUF6/ytbS02kTRQSEAhIWYKRC7HSxsx
ed/JVH9XJPIqRJuQBgJ9VBF0QgD2km23yJS/iSlNH9iKrqBo8PW/dUC8aLR516g3472PXqW0Q0Ne
aEaHH9KG63viN+FzAn7gUQjWgJ4QZDfM4Xan3JoeOxIC4R6ASVUIkw9YdFm7PbdhMJ1SJoOPQOKR
DgKhkWgS413qzxJh7ci/RzAQhu4qNrxV2j43PkdOjXt+e11Vtl5A9KoLaM76QFjUFaqTfTmFKZbM
obn3M9kd2tprH7x+S9K8V2lSNFjzy6BbKQVUydyJDDPb8b7j15YO9Sc2Os2grUfyi21pi4SYp9oL
hTZ1kLQW6CJ98xVxpL5wwexeAhXQYq67ZMlxktEKC0rIT6LR9IJIlL44NI5NPsSkw/Mm2BMqRf+Z
Noru3NTNpdVitUVsV/Z5FrN8CFxsHpicakhrt9UeO7r5AO08vAQMDkS+xT7AfR30BaGhKzo8lado
WR+hUcruvlkQoljfiIgzyF421n5P3qzXDONhMsnSfg4jWo9rsU7xhp2oJ2l37yamaD4GG682H26J
DZTh1UyM+w7LGJZmb4H1LC2WYAZ+BC75ApekgWy714S/aGPEHj1dU+EhrY/4Kgd4nOPwGKA1LaMR
kG/jzaWIIUf9pz7+f9XH5HZq7j8uj3FS3tcP/vHH9KSfFfLPH/kjbwRlCEAIxCFEffwYUMjfi+QU
x8RCL8KsFwxF8PGfAEn+UI0iqEYJvDWcEYuhsYgd/b1IDsh/UYpaF/RUjJxbkPn/VpH81xL5xmDh
RHP8KzCg4sZ83UClP4WQOqBXoQxC75B5HqLH2K7cYctC+fKne/J/1OLoBOZfUC9wL5h0gauR26kF
f72M8+ViEYn0DkAs/Zd+4rYMNpLec61g4/3za910rl+uBS4c/BzOQ05u83b/ei18Fx0g66A+WNQv
9yRe1F0Mn+gUOmJQ4nIwI//8gqg4/tclkyCLkU9DH+RjpCKGjfz5LppeRsJPkNNtLeCCHOD7ekG4
ADIUZK4pKlLElV7Jrc3fka1RQRkN0Ob38aTpiHKg2aCtqFCjuhjb/dwhc5JNtzyVzRbydTTtckEv
nUHAaLK9dgu0sNhSUMRmPNnF549DP2T7wVvWT/4ajyck8VEo1by91nZtr2HTRWMZNCPbW0H4sW0A
0IpV8kfqhe63DAjlK+vD5TWZmzuy2bbSSAsVGK5BDo4GPQBVGqcF64LtkcqN/3CBm+6B3XafKGm7
fCT1sMNqOxZ+y1WxTaM+kKmeSuEE3aeK3Px9q5FINcBz10CeE3+drsucQqAY+uADur6HLkGL0i2e
PggQEwD+TVZj3oZHp2/YIPkldtw8ZpNjG2ZyaORQkTrfEUmX97b3Mg2qlsFpEnlidaPlO4ZjR1Ze
2Dh3u2RMsrHQNZ7zgrAJAW0S8PHrtiTze7c16ecOC/hT1pCMwTyQ2fculTOCFNkChJZTO/W517Uw
t1SKsoqkAfvasyGNinYMh3uAJOlcIHU9XRLElM8W4ZTX1N6wDMhbJaUDnr3ONTIP2y66bwFPMAPi
tjadfWIiiyvpk+WdJ5PaTYACwAzFHgquKebfF87Zno3sm12wfTUwl85Nlm6gvF3EeCVxc9hYD3eQ
cNznMKDeYzC2DtV2DbFVGoDU8aiIV/ZtVxMUeN5zGLfREVMMwoPSo6wCJCAupGu27w0E3q9IFXRD
5RoXI+KzttkJtwDgVB1/E+sA81sv13EgKke49zsJAOKCDD/XHmJkfd98yqQHqbRGasmbU4adnEPh
NHpEgxRiPEHdxnkyr+fOW8IgN2uDrRh74gf0gBp/OfkS1AB92RRbgPyxeKr1QC8xkw+R0UgHppAU
8Gjj7YFjrWC5hLTqfPWb4QkojgUhiJ6O7utqQAHgm42+IkXT3yO7RsveresTUlJeMa7pkxBZW22R
e/MwbuRKHaMVjDR59RLnKp1hNglEbTRtfqZ2IOYeR80/J0E90UOLyQoqRFhaMfttRPqG5lsGIqzE
XO8QaSubzrTLnewULFPeR1VMb5kRO4jYXVIgbOY4ZKSxSL3BUSV57XmNe+2lDlG1IDkmNZx/bxLl
ZjE+5yVcurRBPsXvTKr0S4K6pcp+hhGjn8FEr76FFKNbXjFb03Hca4VRG2/GC5t0l9ieRkeeYrBK
2Q6eBfLQSQgFQO7WeIceyTVPqo/wN4O5Vc01FgvikxNfRv3QxF6DXOUcC8nOWe0pJC5lraN3OqMx
7XIy1h5c0sVk9LWDCB/t0EtHyffkZ4yTrWz1Tkg23PKdPYdEKfYoDft3L5r750zxdr+QG7o38SQ6
KLIOr0ltvaWoAwp7HFxBcILFOCEB5hQE9chj2T5ag+CkURFefGOiA+UeQb/W2xagjsv8F8omhGSl
uP3fSR3Xz9Zu+ltMxzrNR3+cd2EfBMdpMLjuFo6IrGxDeMRMkfHUGp1VK99gKXBRwyvwUj2dRRhK
AQMk8Xd+LCfYCu1YRXO2FqMkKaJLFtiPV9fZF7PgvwkI589OkrrLo9HbZhgemj+aIJx/C6GCXfAP
aSF703A6zzbjUGrQQbBqsRoZITJk90PUxh8DhxGbB4Pyd9Ds+aOnMYGn6FOOf5sXz/izyFv5D5ou
w2tAVvMw9B0ipanj03PDWTvntzOaweogEbzhvR3+Rof/hx3+F94hBUX7TyeI3YbvvU9L/+c68Pcf
+gMbxolNGDWP8b/AvlEHJf+jliY4mA7MPSaLAbjB+C4AwH8Ugjg1gPiYKkagjPh/xYahluKkAJwm
gFOIMUjsNl3s31BLfy1h4AKiDvw5xhtDyeKY/LWE8VUsFAG+c1QYRtEW/dhE98Gi5yt0pPRvT9E/
DDj8WqHdroXTqwC+Y+w+yuJfqkEliedE6o/HJND+1SnrX7styF4t7sAFId6s+ucF2u33/bkixPWw
oVGa4GwFeptv9NfPtngBTUCJ4Xrch1cIPoDXeWecf11NGBzHtUZOLDCp/6Ljlv6L0heV+q8XR6Ip
hmoO6Bsm8S8fFguSNJNEitqBQfkO21XGYFNVerG+M0+mdtlrTcm/+sj/xy1GTYvSHici4ln7NWCw
yrVbdJog3sx98wAMaP2uRn4zPNvFPDTE/tsXvJW/BJfD04vc/E3w/3MJ3GEG00zlkh2gk07nv02o
YmtW8TTwsLGr+P2ff6f+/7qvQHOCOKUYT4CbS9PwrxcE1URcAzXyAL9QYHYURGZ675xAdZJqwLgF
yFn/mgK4OWIr9J+QOx5fx3lOdMHi3mG8VSKTp9VSzBtZVAQgHfFrid0lM2+guP7FUwBP5NfnIMGU
PkxjxyOIY4zozfb48w0akVFqwHhtB7j4TfjicZjDZ9kMROwAISO6LRpfn/yJQefJ5RqhTRobCx1w
WA6UsDg+tTINjshSRR9NIJcYjOWAZwmTg6Yzd6l/xdaGUXmK0IFXiOD7V04J7gPmkTgfPikEXMCd
Lc21pS7dzZHxr96SYLLXhlzdefaseUL7YB7qNquH3C1qir6mCspCGS/OqCrtBe3OSxCZBxCmyJu2
oF6zQ0eU97kb4Kk+iYUueOTqTgRIokloIVOO+sr3f8NTCqgw91soLMhJZip8NKPVl5GwAbnsCF6l
ytBnYHgQFgLYJXhPjZLmAZieecgwEyktTC3m962jGGoBoPkYq34VBVCk+T3lgcK8KonsWCYcli+E
kDMUh0v0kS7EPIHn8WkOS35+D9hqnjyMGniJVkzdal0bfUCZpDBDbWbe42nFBI449JGRQAzMPG3h
gk+K0LnOwefigtnY1q8YqYWJPVuqo49hw30EcY/7Bor/ZcvwpblUZK9auOgj9oAhoOHKKgxzixAw
mNo1LTLjwZuXqjZPf3tWWYfJUgULWr3dtT2Y0KHD5J4cAtL8Tq2a5V5qNbjCW2zPThl8dH7shSfA
DGIYaQogDRHGz0yhzUxnrKflCgHOVBzya5xj2lH4MYENe2fNjJdf8OyS2SV7nQcOji4cWzwZpgem
GmL6wnkhFl9/ME/mYdvsrEsVU9xSvN3zuzEd0uPN1DuxU9uCLyljfnDcWIfSQ8+3z6pDsPhpMy2H
n/c/NGtUBFsaVqxPkjJLPSYLMWbk+vPvrHWNqsuSDuuGYwcPn/WRJasqdYNBbZuQeIDZ7fWI117P
Bym7uj77UGTnQkm9lb0wafYUYMzPEsBEC8AbrENKuusq4OFF0MB7ap6RCCQL+vLJ1Go3dPBh6sDD
D4xD65Oj9tdEQZrm3shOUq6tt7dk63QpGs/WTzNckSFnUwROAL7MWl8o3BOEyClEXesJVSCB4NoH
jTyi/ixx+9lejqA9JEWKM3dImKKiVLCJSN/mXqQi3Gf5Mgc1q0xrGabbZXYH6rkQTJgjIJZwB0s9
uEYprCOUkYc6s+a8NpP5b/bOZDlyI8uiv9I/ABkcM7YBxEgySAanJDcwKpmJeXBMDuDr+4CSSkrJ
OqtrXwuVTJXJQDACcH/+3r3nPjpQB4KkiUCtGNp8tuzcQemZiC+dbsiwSWZng61e3KKs6y8qkfja
eyynb0xJfEYyZqfMIEZ5eDW6yKQtDwf6ZtDx5m70Gu0dLYsP2bFs0iVxT5TozrnRK7w5A5rma8FB
iC98QqGzWbIYtFuz9B9+miC66TQakiE3tw8opJ+q0LfGzkd750bPZtX1VSg066lPYuifrXyvhJud
M6Tw1kEqkyVbcMDCwoH+N97Mud19JIL/wBM0TBe2Oe5lWqlJenC0iF16bYEgxGhebdH7z+WcgD1w
41VTSh8F2Q+4w+f1KHJuLNG8zl0+IXTJ1Ttymvg5Qw91VdZGDidEz15QCPNg+bNtHiMdmVHKIPno
Nf6KSvSjKmQbrR8du9ziOQWPya8Bps4sPRsH76L7L0vXiLey1bTluCTW4B2ZINMbCeioT6h+BYQx
JtTmr0s82s62rfJT4TfRtdKa+A7XdnKMPf/RTRL5XPTt+1xO6+qfiueuxGqbQdQ4Tz4Oo43diPTk
143xNmjRoAKEg/A5fOU+0JzJ3TAd1dE2B20MTSVFwHPpXlnRKnXnBFzdToMxDbsFo22JUDWsJ8Sw
m7FMVGjNhnQRNFk2jEkzqs6Vq1m/FsLk7zfsWO2TnfhG9KvvqRSjgWyierd4NQwcI84H/MJdrl1j
qB346MqoQfZlx19QzNeH1KrwfCemHmb8SkwKG2g6sxF1r/XkUYs0ve1dmwrLey5Gvlbp+y08w85i
sbCKGEKd183H2cy8s4aC5JmM7wwgbOF0H3qR+QjJbJa33Fm4aeTAndLFuhfGk7beSgP9rjBOanEm
E5q1VDoGa3rm8zqjwbtx+sS/xqRimkFR+KyD5UAjbON6M3PTxuL/YKzMLTiZsX/tFE1ahrGRs963
Y3uYk5F1cLTjrtuvLdZrvym0IPNqrpyxmZQBakC6jSaXd2wli707s4+DDU73ZrRY7wvj1yH4XALd
ZECUBkpnvfWVXiR3vaq8ajM0ykJaPOh79Ak4Ltpe6z4qM2fnEGbLHWEs0n53C/bHLrVZp0s7LdoQ
t1SRYLy3XSqGmXPN/re3JSobVolMmBye6Duwfbktq70s2vaAhHW660dqX/oFPoPdAme2oQynYgZC
C2S6EU5smIEOPu5VQThNkLaNvOu0bPhdaTtwSfiAs3uxZFNge2kcKKnlpqDPkRcb5enYRYJ4spzT
kHeZhIxmzw8RJLlXJxEsrDO2w2tQBUiDES1kHVuGiB+Vi+2bdbNwri3gSx3roiseilqDfDgk2ve+
lf4eFaA/0RDDyx6mmus/G5PitvCKlp1c+r14NCECNpu4nap817pWvvBO0vUTlWBfNoWNJ4Nupwdt
pmxZqh6i9RvNMpOvaSi544qOr1ETklNDj664xWgDoiTd0gKM9GehzZZt8TlRWj44ZqoND6MzFU4T
pCqJE++Cm8bnNJ43PiMstkY5p7s5T7VYPGUe1TK8RdUDNxCUG9Bv4A3qVgR2qijTsFewuRTd3n0J
iZq5NmybE73aBHNHPwaplsxb/pHhZNn+qciW5oavX15qj5UlHxONbpCfnrQ+xmDZJWw9M1YqLF/Q
tib6ZsWgbH4P6YR0cZON7vpXFvDeQJZQhz2WdLONBxiSsQjbRWAIZAB1rEcGbzSmxKWyWGKA2/QI
wEewHyKnIumdMv+upZZNJ7OODv5SlwAG5ViHPIEqYFX4XrXyu1bMt/5kqSP3NYXBIPVbv2/0W7uc
x3BkSOt0c3mYBltuqY2jhwnV1y5jE4X4h2h6sqxbS++tG/pm1T3fNvtyNRUndr5yb5W5hhzT7AOv
dLaxX9wMuQVamo/qVqcx9dRozvDa1oZ5rkf4awEyUApIhmsFls/QGe/MUlyo/KqtoSn9u+1E9sk0
AR4AvTT8TK82lausyDto2fLNZt6WnK2BR3hn26ZKwhJ6cU2hrY1NoLEDd5uZOTMrSEKvHNbawGqI
ThIvigGcwwQde4OthZsUiYt/nTotd+SCRTDC4lnQAZ1zleElo+wOf36MWk8dPxyN6Zpy4LDxIwta
EH8/9gOKyHx2vObQ2J9F/zjpuIHWwvfn1/nH6cfzQIljgLY59lsc3H48/fhRgqWi7sG+gd4ED4Ok
7FF2rQZ0eBL1FZ5Bji6fy+HPr/uPoz/XdXV9nZWZlsVJ8cfrciQvzAwF0WHKCue918r2UHZTARHY
XaXAdVnN6B0wuQRyXKvcn1/9bwI0i4t7PoFODg84b+LvTmyGxHRPhFMfFEpJYwNswnj01lUXLgir
PeN+/ldvWo4la+VtWB6L++db+G/H7t927OhC/OXb+ofb//xtfP/4YW5rkG/Pj/wh90fTz/CVSSuD
uU83/78Gt0xL/2zQGeukdg1TMSwO+Mgd/5zUrkNctgqdO56R5/r1/wcNOgbDPz6riCbd9TJ0sDgt
G//gZSS9NY1V25g37qrnnpVlUxsJrd3YS6GHtKMl20BTn4ATIAevhRzxF8bdVjmgwzj/SwqmVUJu
J0t+rt0ChbWcRqCqRiMnTN2r+JwlDhn6KkhnPIOy7lOl7o8e84lmFa8DWOFkM6yS9sHs6tdqlbkv
LXpqRnWr+j3/VMIjtVa7dJXHu21W4v1dNfPuKp93fN7ipkmyKQ/iuF4N1rM53VnzjDE0mYA3HugZ
LkM45Zn+azaAS9oUc55/SLhFWHEQoW+UKqfbKKo53bAx8LuXTQniMJvS3D3WcwsUfhHD1OzxN/On
Zmc3xmnw4hlSoi3nY6xViI2Qj0+QJ3mDNYUyw6pNLUu2PcNr6nufAvCyZPl4i8xvg1+/gNafACsI
otWfkKnWPZRsFTLIrHpBtIji5671hrwKNaudsD2YufHUN03vLqhOI73u5SESNlVyGRmx6e7hueTx
DpmIvui46pi76HRdvelsuktZkQgwj9rR6kSNQa+JZQIzjjlCVeF79jAfTJw0C0b3zHCqfIPET1Ba
2Gk0TudcjpYfbSnJWx+ETdyW1E0NE9MBmIUTQ2dIsug2ErO2G6EQsCXbXW+iOJfD6PZ40LSRypmp
klsf9E4h8TbapIhCaXXjeuO4y2GBxgRXEKACdujSUcV46ns8z/pZzGXWm+2mxeWglnKTK0N14ksM
SsVYXqe0mKv2o0eHU5YbO1+WIrr/74L3/xKqsNsYP1vwjtVH+v5nDNtvWu7Pn/lTqrKKrwnuQgwC
e4i18A+uifcLCbk0Wk2OLb+bmP6Qc4tfXNtni0WMh8gFPfef65/7i8sfrD8GpxQw9n9kcLKsf9QQ
AlwQrwb9mSPtP0QkrGBJuiSTdozMZQpNWRTvNu0g7utUN9ACUsyM+DPmJeg4Bqsgjw3B/LgtbxYn
sqZACB6eSE/HD3cQ5e2CfOLN17MZFr+fx0w4Bw31M6jpXVkt1VtpR+aRRdm4bVMFL4MC17xZROEt
Aeq1mOm7Xzj71PEe8CoUlxZez60+vpd1226SLsmf+5Gxfp2ntH6WEWMxGLJmeu/wcEw4ajSWV82M
jSic/MqcNmYPAhiigMyRGufobs22pC83G220rQ0MJPkkQUpGhT/cxPMUQeTSOUmGdktvfFvUHvCH
1vQB7GJVNvfSBxK+5j4k12bmjt7WJDCDY34FZDZAFlh/bbqmea3xfJ4HPE7BYBYd4oJOffXKsXq1
+hQO2MiieZWqXN7PTRa/GzzEaISMekP2Cg3AEt0DJIxgSj11XuypvrNNBNSc9ybZbuZSuXsGrvnZ
M9FuWAUo0lWmNnf10XXVwIKT0+CqhnbjWOBbjdS9E7KDAZeZ5VcEp2JjTiXaZFs0wO+z/gHnSEey
R9dtLTWb2F8aATFKy6uT3cduiHhpuAIPhjJu6YQ8rcdS3M2x7ceIRqV77ek44oNWm5mels3wMFir
cxV39bIZ8lF8Sd08+tJrGK8axbEDGYB2rRZG+n2FdqFeYJwoJjbXSyyGl2Jl9wW2X2K7ilp5lXje
+N1v/SXbxPOaqdAVVgIjrSq2jfSrLKyULytQBe54U8BsEHinYZTJVXERc/Sw93FacmY2sFW/kRgC
0k0Bo2tWv3h8V3l+JQ6U9uklaXLzxYjLFJyrzdXofsJRRnlAvzSxroSBF3yTDDXtVLNHdjLXTWj0
ozywa4+XGPhZ4GCme9WquEV5XvrfVKtg9zh6GZNoYyoPBRAiiYvPbBlTMZ1HEidi07lLrJTNZvRQ
tiIsXvKvVlOb/mZIjHwb60uJW68H21eKiuLez5+UAKfjTll304kZUW9r4NITtZIg2StsZw7we4Bq
Wf3omRz/4ravwTRK/lzUsXXDPjbUW0gbzTnDDJx2G1XylH+ZKpGtORm0iAGT5CQ36A3KkFTnXzVW
gL7fTP44Z86lq/1JL5gy6FPVbwgz6EHtKshu0bjo0WVWozmfEjvJaEM6d8LL8pBchSUAVkwzxmr9
h4lUo3HbTUPxyqx/3ogiggDhDpYPtLkx6gDmif0wYF+giZEK1J7WLIOkSvWzBe/ouredZG9J4IVd
3SEJgve/RUObbz1z4FbkeblE3YRoIR3H4mmKlInUaeh1MlnSbin80GqWQX+wlk6ViKNdp7LPhpDa
QQ3ts0UT8F6jvYD6qcU2YrbjaYQtelM3TbsHzQT5ciqWPbyA+R6JsXEcskJu4EfGCO674l61Znsp
FOpwK88Q8Zo+7I2GL9J0/E0ZdZzoZXIuM56Psqc90KfXY3ZqVMormZrcD24kt34KbTlKaL5m2inL
0MSQ1bNBDQkXwdFUMMnOek4s0zpGXVvTGC2nHcrH7pY+x6s/NHEIwxHeAFrAG6wj0SFeV+t50F8q
0ePDAUyDOeej7carfuEzjHr9KksNlLwCITkasORpMvG5MDN59lz09qXXfIXdX9BeNy4ACKAOoDGJ
zfbWUVl218vqi8URd2PMV24667tSrx/GFNxRObk9CjAse7rKx9CoChwMFJLegR47rUsHQf0wdrRL
l8S5wVPfnVrkbMSZYHb0vXFvUD+HoptzubEYR4cu+JETnGYr5ddrltdk6robf1IgD1A0ASy3rhy+
7Ws9bo2Nrg3VRSfgZg9zSNtb88LdNNOXR1SYAW2qBaNNOn33cp6ZeSyQCsI47Yv7XJvULUaXD7de
u0NpLK6W0sf+3imvDBoGfesyK6lwPW6/R5dZSGgLG4EeSir62h2NCSeez3BnAcGPon2iozoEmm11
Z8NP7xFXSR6JHAznOHbnss3LoGWS/TAWUXSPyNnaWKssyIadTbU9IhnSVZgbZvJeTNF70ukwfOiO
3RkMV6/SlqrVQZf1MCgGdr3pnJC6VMHEaG9DS/7F7hK5in7khlPCigTjnRq5+1UxELygtXcDsOrz
zpwXJkRIFb87HV3rRW27YRngyFrm2v7trDNrjHZNUpVL9hWnowvIzSKUbpVfmTgJQH0aDUCDLvlq
FQXPll93XeDmw4WbsCD+Qi+wQUVQ4CuwxqmzdCEZbHeu1Vlhb2TtsVxM867wTD/UaP7d2kq82WPr
bCWBYg8lksINwCnjpa8tsL/KyAV3RkI3lLoA6IjlVjsU7622gcO4pzWeXmmj45/sTs2Hykuno9Oz
RU754hw1YFbit87PfxsD/6YxwOFdp0b9vxXdRGK08Z9hkZ918m8/80edrP9CCws2gKsb6Dl+AADa
RNv6TPg5qH9S+OhH/UvS/WdhjM/RBrZLAgT9avwX/0lfAF7Aj30By0dOtFbF1KJMyG2Huv2vygLf
qCsvqr3iYHrxq8qBNvVdXgM80r9gqH9okV1X+iC/eKX4gvVW7AZ33nUTRzamNNtFk8bRJNyOoG1/
QSuHYRzudLFvZx0ruSYJbhr99vuMhiOsE9cLa6/Tr7E5NG90P/SLZtCdxgr2CYaFngpRfkeBMGFR
cC9kBXp3CudT7gESrlSqeLWB8TIFBlgzg0QjZbUnvW9pwJW3c2dgK++xJ2XFdGw7d7m3GcOHtavc
QMxqeDRSn8YB9e8xSWmWWZq4Z/eAPtPHL45Fo9lQimlLWSQ3vZ4K2H5qCXTkhnfC6dqtTZzAHUcg
KN/FM6sIZ2JM7rN07EPpju9o53Arm6MKW6uZfk0rP77KFZMyky72pkHHuef51IGjtVCiqrkLlFVM
WwLpPvoMXIc1UM+ncONwjw7vxjiTPdWPJ/TF5a5MmZNmCwrvpa8oAlzq5MStLqXsdj10w6XWbqO1
GBw0OR0a01fIbGtx8Ruj+NKPdvNij9mu9NX9IvrykoOcAKnFzJaCH5ZNEA3FDd2hWG0NNNfM2GX+
ZVjq9D7HzHI0qX1Ywys0u008tg8Sxt4DchX7ysrnhYNBabeg0Rx5HSVNem7rQn2JfKP7YLzlP08l
sP0NOZEqdGrXu04wim47lVtHORTevavoA1QFyQBAfUb70JuIDdw0g2NA9VQ8V3llX7H6+nvEKeJs
VQsFD4tsne9i2p/XrjS8ED6K4MPzDfSLyYDzrTOa6tR2EZJKUHjVSWoLhCDpVS4OqyIHiSCYLJz1
vq6vZpJ44A+42ZtrEBkRThEhBQC3oufMKOoHz4zK7VSm9QO5iEwEHbqtlmKEGKNoeGsaPEvA5l0U
mmm+CPjXZCL2CJzvZntMz0NP5AG2MChiXcqIeKEUO5i9opVvp9DPW+lZ71I3i2fkqPqv7eCaR7y1
AziirudTbWv+ToJChA9QCzDDM3XydV08orCpTlPPS7oGSVGhjuLnziBe5NmGw5cfbCQi2UbOSEqA
3fAeV4rVBWlnfdXVtpMHJlLSLeGXvKDosdoD7kClOhMxAGS6RPDB88cR1efjnggzCqMpZXDoJpRD
jajS80xP5yOVywg40my+2RPisGiom9vPd5ZFWeNxzBO8fIG87j5eEub3JDk5AeoF796auAetVZEK
wRGuJ6jExy6zVICG2wFptP7ivVnOl3mw+yd3KvmLxQpYsEcWkRC76rzVfWIbMmVlb593Wmb3XG2J
fRqGYjbsq091LsFs9a1q/ATXbJxhl1hk8Wz5ynhRlZbWqHct9564MOtY41C9iIkkv7btjcCIB9c6
NOBAdwOy35NWLnxrRgS6qVBl/9G7CURtHfIk5p35StKmv0R65l0U5dI24Y7Ekebb0ZtvtHKjbDS2
gAzwXWh42+5bd2akWMSJ9lAvkrRVJ6sfyDzz93Wxat/Wb6tUaHPTeO68oMtXO5joRy+oMz652bXs
a068wLNp0SZj6MS8PM3VGEv6xF1Pm22TegAiaM0GBtNKYE/LuauS8yjnu0HrHkeJxGq067cqJQ8Q
W0jgezdGP9zqKr5LVuNi0SeHMmu/28q/8s2a8kPzg8pwL1Nn7swx2QO4eo6ZJ4e2PnnXxKaw0EX2
diWRGc1cB55R1ZeefWzA7lgT1pUK52I12VMnMqbbcIrCXHgx4L/GDEg+sYK0nM9YbEM1wUyL6pNZ
udGd6LXpVkycUlGdzISQeByMnDrPNiRHWtu5yUs6xJJh9Fg0QY/YLAm1VnxUOMZHaXyT1ci0Gonz
VbYM3bYySnE0DftrK3rKJfuebZLj1TiYtwZN4VctNr50mvcVfB85h1VX7gpQrDBJq3GrleAd0ewU
+cbgSBo0jlM/0By1gjHJlo8ShQ6qNYB3xIvtmn56qLKBA6abA2nuk8C2F77g1BG7SQ4ISQGzXueO
eHJmZmeuL+nUzOURG5R5IPQnD3UMG1tmzxEWc3LmYkIQoMm8Shgq0GtrncQk3T213Ph7jOgMl8fo
VRelDDTYqIOYv5tzc2lSz/2WGm56sJTU31xHI/Ekzx970WXvZPqZW571bkNkphcQRUajqPMJ7SFg
VW7GZWE9MMfiEBNbCkPH0yGfU1T70YMs0drMfQSGxZvPeGhUszXjMUXmjk0V0OrSDls6a6ROCedc
sObfc1tBbXEigX9ytraK+SvEl0HLDrSim9DqyNnthNF862z6AksJi77EQmM2zftQ1KRyep0f4tz4
Qv9qDPSa3d43aH8wkv0KSulVJuZen2VE+6DB/27mIyWyygGF2NpNa5GuNtMrd3gMNxm23y9exj5c
dWbYM3u8Vt4QbykSvA/kzuPFtVPxlM9yrSFwqJGE4cwn1WNm2IxG5AFeHLMnjJ35hrqeoLTIzb71
bVvgfCndDfHKUViP2rhjT1c7gGknFZfmlqOZfnajrL6nkTox1pVUViauHSQM3rkZG/VW6XPxpgxh
nlcpRGBTYW1auEVhwVPESt6ng0ufwJYYs0vP3zhTFl8Tq5SLE8ZXMdFDXByOXzTakAyUOo9E/Iw8
U7t1BGLI3DQmZsQ1wZwEAeEszrPh2rVbhAiioidaS4YeG2tRbIPTUJ9rT7gni1hVqLmImTDZR8++
TFGJ5QibtkuH1XvT+5V27mPPPlIp5Huh1xKvPCyggsgiRDnt9L0qDeMWpmn/pGiLHohYlC+O7OtN
wVoYgm3AQuXSpdOshoxidznmJVVYOY7aSa9ZwBphyEMd2V0APT8LsmiOdnUqPN5WIYG+Fr+6OM03
XRup29zR9Js2IgygMOt2L40Ed5nKo4Ca4QZ4xs7StD20dlgO3vKatS2NrqwaiS9Qsg0WkYtNikN2
Rz4HsLY2t/YLSWvIZMlBJFpiA+zW3MFTHe+WnBovH4H31szYb/EJFw8y69TBM3Pt1SSEBwtJ902R
2YaQaO53fuOA+ijoTGgm6TQ4dlMGaByf8cQbdMj0CztofVu50wBSDqRhpyv72WwmtB5THHbm8jA7
potm1xDoFgGazpXYk1dM4qxgLj3W8Tc5QYXv2fJGJD3bMc0GSATTdEpH0QVoZKKjktF1GssL3QxC
aiIvI97Ema6izEv8Psy0hEQrsJEXP2d1FVfuoDnpuM1WUFKzz6FNxPemk8mQR3i1HvELr0YkrKC4
kmImQMRd/GZXcj+9S9Onj8mmVMmD7NPfxIR7DKdP1xPTgdUC1X/6oQBmc/ztPn1SRC2tpinn00HF
bvgy4akCWTTSZl9tVtagHqLVeiVWExZexXqXjbZ10+PQkuAht0vjXFK/Rl+12rgS5GxhARbsVq4m
L8T1M2lKGL9EJ/obtZrBUlxhLUkyW7UaxbwRyxhYdutEzihdFxz5d/5qLVOrySxe7WbGajwjMOMN
5nGEnGXI3tVqT0s/nWoVqZKlRgM4znRmdGhSUWWmABVWk1uz2t2m3kr3TFAe/dUKR7L61bKa4zB5
frgGZAVLlu3ZoYNU1NbXpDA6GlKY6+ZPn1326bmL57b/VbdU/wHNECnUas4zIFYezNWw12b+gz4O
vr6R1DL4+cY+P5LGg8tvWaWZVtpq98h5l5cCqNdNl5RfOYAyo6gN8p82ql/sK8KDyXPDS8iUk10f
8fCH++k0BILT74YK6EG7GhEpX5ytYZjTpY9I8qUGupircdH89DCK1c4II4Nk5tXiOK1mR2e1PZKT
Xl0vn15IOffFbU7enU2+BmZJwJn4JqPVQrmGAdGSx1ZIOEnq1dQBhe99eJ/eyzG2xSVdDZk9Br5X
ItaqX5dPv+b46d10Pn2cg66qx4qif2uLxSPTuK93HQvj1hPLMZ0JPW0UhyykXfk5jQf1KnqUYY50
yWO30ZASYpgpdOlc/BaF73Sb1V7CwTf1+0c80m1MxFEtq8WsGfmkPUzgKcWI9glfxyogu/F70pXl
wTX79NASOXOYtOpbPpHx3M2Ry/Gxu85bAmOauPUuTqmPdyR8NhcyiZcwRxWOeNai67NyntvITEOi
PCLC7NInDn4RLcOk3hF67x0LXHj/xVz9P8NDTTCLP+v6rAauw3vZMENsv/3o4vr8yd97Py4xDjiW
xGrkN/4ckLrGL7ZNIA1hHjQP1hHpv/o+OLig98B39N3fqJH4yP7gXRm/0LbhrzNWXdtAkAb+A4HI
KmX6Qcq11i84YlijeBf631NOLJwGsfQYznPYJuqRmefGcOLnv3wod7+93F+hWmsv6R8XwR9G64rf
E437j72mnlqo8X0PSEBuSPoT3RImeCQJxLX67c8v9fe2Fq4llB50yGxLd3Vmvj9eqi6jSTJ1Wg4T
TyEH/jS/YlWKOPRD4ClofB9K0Wr7aUF86Xukb/788v/4OCFu2Zbnu4KYD1P83dBkFItnK4diBbIt
cEz3xSNC7OeXWEVvP3yY6yVsMEU4phho/1181zKIZIYr5MEW6nGyzWfYyHUwGJCI9EV++/nFzBXr
9vfL0Zn08BdamBB9nRvxr31CM5aWM/ldxwnClKeYiqAJiG0sT7kdladitJ6sSMlyY8Wy1ym5EVtv
JD3BlpzvFkUQnJQUASq+aBrzXn6k9+4jgq5HHxtOUXBu7DofyLUhRYNbJvGJZPCNowGw6leGmvt4
7PrvleXRx2h73XieOx915OwPZZhr4MrBC/qhmeRmCClrep6zlRnvxBQm+PfaJLSkX6LEL+IXhMY1
7LCWAI24tm/tvsovjq3RugP1T6OG1KZhrAQHYp/y3aNrZOuklYzDQj3qxTdDRkVv0o2w3OJSp9ZX
Z/Hu+5ZphLK88tTo01u88hj8Fear2bxmye6HgneR+1zabCHQ7e0uU9/ahPOemyW3zexoNK9qkJwG
iGRVK+c8TZBjCDqLTih+nl1S6E9ZwslKdi5kznH8xnjMfyTABLiPyDJSa2X82DtWEQweyBl/jEO3
Rrg7qWg8EJMabTN9Sm6qzg6GhFIzQqt+Zcc63E6F/x10EK0DnwjXbJh2ae36j5LJf5ggTQsMkgyu
Gz3L9KuqEZHYVVPbOk8WYv+XJB9BjnG+Yyo5TcZjDVT0ik4SXDHT5kxJJ4WxtLSTq6iULQJjMtEN
TrY70r24RUqZ3cl6LcNUJbZoyY3dmBb6s1VDnJxHOQVakhrDKzINWO6BPotrbXHjR4wjy7ZKa0EQ
A8E0CY4dcjRT4R8XDTUvPO/2vlmq9g5V9jWzV/OV7Ln+0RrM/CC1RNyIyXQOJZPhjVycdDf01bSH
kfcKRsoGs04lsctcczqQw+Df606c7TWTk8MSa/XdUMyh0Q3zDcJLxvjo9/Ud0SXytXZWGGDqNLjV
Jhurum8NV+TkgWFl6HeXut0uikyaChE9EZqGMRGXZAzwYy/TGJ+AbK8qPHXfzPlTJpCoaWPGMA/c
4BUhZDknEo7p4xAzuI2UYGKY6gehNwXE+d462k0nr+Z6VQmjW6hvCa7wGKgi2PY20C/1ezOS83un
cewD7lRdj3GmYQ1yjD2QsSR0CkaHYVbSlSK00A2lLrlanJvQaynrzRVVF+0ijEKnSfOiVy/vqyDy
wIrEUaSuJlD6gUuXN3AIUN5js4p49ksaQRYFnAU+LijJrgeGVajTYiTiesJuu4syWsR1XWdBmaeo
p93k3YzMF18sZL/0vX5Jp1k/GKP55vK9akRvPOS1jtTA5ZM20+XEAZkJZYQYY6GbGEaKaguDMLEV
S3ajdbK5z4hKCSu5fKSxRzRDooNy86AZHiONWASh6ffTPOxgP8TAiHED1X6j9ku+svcIpXhqheaW
LE9KC2kx1bvBqM33bqQBVCcNAI5pJ5vYfMTiRW9M5Lh1K3fs6LA15jvrtndMS0VTQiRUvCTqbBM8
GzR/mc2foyLvyaIlPuipFl5xzYK0HHGR0mc3bCTmCkQ/rjf6XVEdFE0EMVxPrmOv2idsAJgS9bHf
xDHeggLdxLlbC7/ReMpLEnDpA1RBTFig1XpauJBvFEa55t3EUf4twhYULLLbuoNhvQ+61aCWNMfb
xsI5tLExHYQsCc5tOmfTNfCaAqqxQdvaSyF2qUV9qScg+1RDXBl+7DwHhcMDhEJoyr77mVa8CBpN
j5zMLLDqmUPsny8CgWWQjBe7MHGlJD2ZDtxfYnKmD+SU2m0umZB3HJBysiKf7cSuDrMPKzCQLUk3
wpoISQGWvToOkKQurnVd4HmU9IaW8bbsPO1AXpoTSOl+xQ4fQ6lDlR7KyM6OHlOOx6KbxL6y03Lb
GrRE3XFOD8YKAhGOnxzIvl5zqQb7YPe2feukIsdWGMdvnr0t43TeF0Ajw25MpifByhUamLZ3fEjg
vjziJsH7kL+ioZp4sKSzdVRZvvSkmb9No5OcndZZXkjVCFF0qXSTNW17HkTT7yC+c+fNbnaw8gIs
mcNNxub5neQokGfEy+3Iie6O7I+KVCDab76cIDxf9aJEnhoaRTf8Vlf8d7T7b0a71NdA1H8y2n2o
hz75n/A9r/sflN+//+DvNb7v/GLBcXJsCvOVxrDyCX4XQgodUTgiRxM3jeUaK6H2j/kudb5vYSXz
TNSOv6kn/yzzLc82HEbCxIDrayn5H5T5qNJ/rONwjwubgbRg5o+5wP50xv+F2eWTEYFtVmpXlkVg
NfUe3kQLzGK5AheJKu2IDRmNi/mJY1zBjGJFNHqCNK44B9s45wAcTfDSgZC9d8g/+Y5RllUBNQDr
/4p/zOFAxo3JLd2Pm2hFRFpW9axgRqoVHgmBzgu0FSgpPtGSK2TSX3GT5COxU0irMB76FUfZNAZy
DTMmtEON/8vemS3HbWRd94nQgQQyMdzWXMWhyKIoUrpBaMQ8z3j6fyXl7pYpfWL4v+6Ldthti2Ch
gMyT5+y9dvuusH3yRt1Obua+ASEE05LJ3WMC49KuOuBNQX8/+3N3SdhP9/WoYGKCWMwvEDX7U1l5
bI5uxII5aZDmoJGaSVZM1/PoIPsJQeklGr0pNYSza8FxJmm5OBj3TPO2ccgLXY0a3Tm8UDzdF6Ln
rOGe2tS1NTXws1K1ujYb75Bl1qXSUFC6f+ImhxNKwxm1mkaHhh4Q0VTjROvaC3adRozywJRbT2NH
a+A6K1a1Nfsu8RykR10tGHB3rjLcU67RpYGGmPbSrXaTFU7FYXqhnCoNPE0hn9YEiG3GOXoPT9V6
HHPlHCdJGlohQKZGGp5qznYZ3FbNDEkyK1nE/bWuiMyroUAc+wDyNU37bTyWnvElzSYBnL7MemPZ
9U4Lc5iGfctUnJ4u1E/ZgQPvYOBecO17t37om8aWzBo0qQ3V27jP4Toc8CNMe2Q6dIljtCvnKdeQ
UrczO2RvBmkYK29p7QFPS6yuCQQx14lA+rk10sVIkbz49AYT9Ja3xhzblbGBDTWFy76sGiL4bsok
w8qWATvVfqUVP6h1/XU1kI5ZnFymZg5KWitQl2ZBfJYiPixjI0H33pVNMt4HOBYI0UYDG56Rz+OZ
3uE4IgdoLxfazBcfI8DsPI5m35oPxjA7XriFDZrlPgPCnCjQnQ5wQJyOmbRkDHYzxgXizl2NsIht
KzPFU+lV0z2ZJkjaiTOorR1hTvjGUiOciAbEPLU2eo4/W2JcDGhqil3WWlx6/rjhJtK6ObMToVZ/
VUtYkw9WW8GlyCKjwiiq0HgmhKa8D7AE5LdGMltinVezeQZ/5GBYN9wxWKPtLFGPdkVxEsYkDmTO
xY9LVnM8Y+QxPzRB5FJNGc30lMYZEVy40uyPCELploZ5eK5xCZ6dOva23VCh242wc+/5BcybxWz1
/lgDui2yBYZdUd2hlQANi+IY20YtaI7LOWkhUfmi4UCXoL7wHPiTlWuMK9wDboofEA+JMGi2rUxR
uHzlCxO9RNkdosmXmslsuwsOg+Ku9qpw74KiisSgzn4yhLD0q+mqyiiZVjXd5w8vq/z/NsQ3NkT0
aLpt8n9rnXYZYex/d0H99Wf+q3XiR7DJYIJCW+R6NA3+bQpwSTRlC/R9YZGNwnP6n73QFjifEEj5
Nr+ARq/TXPlrM7Tkv5SFelR3qFzHopH0TzbD1/Y+rAUK4aigG8Xfmi/Jvz9theE4mQt2nf5gWZz6
ORL52LJBYfjXnBJ9cqdUUzCb7TmV+NGb5kk+4M8NFWViyLM8wf1hUcKYpX+7n65e14y7hmXq9mNv
DVt3xmoqgNpuUNrnh5++lrs3+24/LkXCCz4LapNfmnuNTTKlyFW3lwL2QWbBZSd7kVGtJ+o3ulK/
+1TcSv9Fv+bI11bNRYACmaXskO5P8X6yl3oDuShdd5PbH//8qV61+F4+la2xQfQRLJsl9u83cBrg
+maKG+jHBJ4Os3VfNEQhUW9vwiLQR1HbWGkk27oymaH++eI8g798e7YCeqWfYgLKdHfup28PuQzn
+Krr9kYpHc3Yi7aFkPX1n6/y692kVhOWS6ABmAfPfXWVFo5eO9RBr/sIDrGqFjCMlZpozDCHyzHP
//lyr3p83FFlAdTCwANqjEpVf+ifPhQhMqhuRdfvwxnLCo2Qb65tfcdYm6Ncz68cFD2rP1/x19uo
LAvsNL1Sym/zdRMziNJkRMjT7xNTkd8R+Blflv9WN/ZVq/Tlc1nAuwirQF+ptE/z588lCf8sUuwi
exvBFbuccR3qpBNBRvxkwv3482f63V38+WqvvjSa/2EdqqwHXsrAMGBcHw4Y2yt2aToLPkF9afr5
z5e0dPf1p2bwyyf0aKkrKG8+DyTr9s+fcCYPzBtHXjsROfIsS4li3ewJWSgX70AuQrrp6wsHXm9d
4/v76nSmd6qUfeiRl+0ZDQ5b6phxhZOj+kLj0TjOYLPoIHT1A+x9xvNRuBZpvbyxMInffP+2iRRW
n5c4Eb1+4ryW5lPZ8RrBLiIcVWpkIWIzhczGsE2MToJkHq8cYYCnFYz4SX40Fxe2kPCqW8KoANJU
oX8mdyp8411Qv/3VWJ/1G67436uXIfEJAl5U1jGfjZjxRmoTN2TT1p7Tbds6bB+n2CauYnT8bFNm
VJpTkTTXLUE/6SafOPgM+PzhBmgJXmGubFHRfymIGy0sbFFhbzW3lrMYxyVFblYPHRZRV1XruoOt
1IM1wQHmoV+343rdSMPdIQ2IGQ823hZm2alLGwwtBn2RLlDkZWTqKpLpYz967W0qZ3s12wu8Chv0
+2h059JntFPHVPKIJMCnAge4Js7RfDIalGdJkRrrQM3f09m+dF5HiYyd7NBBQzjzk4vdn5/WX18Q
OIUUBrz1mOpd99XDOrWh6tWov3QCgIG9R+vYM48int71S1Bt+z4X//iV5IqKxZpOPYO214Mnv5kG
8ijTbt8EwVG0ON5E+MUv5HVjozhLfef5z5/w13WbODVWGypaDZjTju+fX8cWAWLBd9MhycqqlcU0
4EgDx956VjNv/nypXx9TIngt0ukdn0GQ/ZpREPboesehZBf0BnVVGrUgk6d337iBv70KzQzKFJtc
nNdfWW4GRt6N3EDDaUwOqa5vHEiS8u7+/GHEr+sYnwbWA2Q+V7hsR3+/cXBNFuFUpIxNgB022IuT
nTPlyANbcp4JdHcpKXjw8dSHp8Z7aqxwX8o0fmtZemWWZznVTEzmrp6e3gn56vuraxof8eC2e0kU
D3Y2P9sFY9LtUFjE3tqWizyKYiIV2yy/ZeXoXtJOj6iUOdzky2KfVFoGb3wDrw38P34n17UBwtMJ
+oWRGCJXMgIgXPsi7Iuj2aitb+JFW4quvg3aCgCc21cfMsWrnNXGfO6rGERybFpg04py4xbZt0xM
w23qTTSDx4+Msaw1Gq7qYS5Ie62wbB5UGI2nYs5uDbN7q7j4/Qd4gatT0vP+6+/+p+oiEI1PqPvI
TY3mS4hGA/+NDB8jVrF1VZPQG0BlXOeu07FjNflpjpZPzJ3eQSv0j30VBOuJoL5tZJb+fbm42P7g
jy+E5J1sFEu7sQpnEpoSg72iy3ZNXFdvbAniVe/sx1fw0yd49XSSPM0vXM7tfjaS8AR8szh1ClwZ
vqNNFzcs8r1DAHpiHtEmD+u2km/h6e3fPpmA/TUaglHu69fdm1lLZtW3e/RZ2NvQz6vPlFXaWISH
zTe/ltkwPbmWiL60zbrrh3CdlFa0QcaPZiZsd5YJjrhhyKuHZSOqWauv1hEX3E+Evq0hF4hvqMkE
S6X7gOplq8yk3DBqfAIr1xw4c2PfIEHwgHrwkzuYD87MhUL5kuzoM1z884rwa+nmAT9B/UWFQPfz
9RxfgcRNg4QFoU6ypyLYu0OSbYwFvlq5KHv754v9ZtkGY6M4edKepVZ8daJoM7JgGhadPcFT3/3Y
C9i1h2Qlp38KldVPElfC1+5LiZXmdWEPi7+vXHSM+7kJ36UMK2Bgam05zEVgbXOaMcFzDPK1HfFW
4MBvdl8Hnq0DiY6NicL7768hLTbaR4nZ7nt3/hB0HkHe9QVm1PfM7T5z5HXe2KBeas+/16Z8VkVv
W1gcuJ3Xa7o/GO0UxzyyHMOLS29T98wBirkCQaY9LN/MIH8HEA4h7FxR3JAHsx7asNmg/3xjDf3t
w6Qcyc7ywil4tazHPUaYaOD9hcrXbczKdVYSjzvh0CVgiyj5/ufH6TebpmNSOUIr5uz9C3LF8RM4
7v3Elzw30z5kcI730IveOCP+9v4KOhk8SdzeF4bCz+tq0oqwFLJq95yRiRMapmgzFIm/dgLPOI4t
XeQQKzSklDrbjkFIjOsgcLcOxtVCEtkb7+uvh3IP0gzVMvQb1/tFdzPi1UD3nvLLDB1x7aEb7tpm
uZkHbAlhLox11eYML8nRIuq5N994gV9naby8V1oLA4saGjaE09cP9xBYNrjO/Sxk9LlyG62qbsLu
DJdSwX5xSpwlZc8PWKEdQUsyOHWmNmZSoTglBJdc59GYx5shspFOWF3XM9kLIUr++cn4zUID1Mlx
WGNc6pzXaKeICLRZFU69d6ag2fVyGbbw4uHIByp+45b85lKMfCQqIZc2nPda2BWjImBo7db7bgmQ
rAByuCcDL29WhmP+f3wsalAUV45uqf2yqlUa6Vl5st7jnWrufZhGO8K/g6uk0RO1/zQaf9PR+s0i
xpVoi1AiujS19Kv3Uy1hLUGYlD1Xim0zRA9bVA/0oIliMFs6yGiEVxIW8hvLx29vJedr0ngwSypf
Ly8/XTQMzaLzYQDtabEP65xgCXAWubVpTKt941JQSfhhr1ZNKg34J8T3eDYr1t8v5qWoGsJF8IjI
BsqzM8+4HONIjssGHb7OEGtaa+NQkzMfx3No7Dg59tN2mVw7v4cwyssV2/QY8c3P2XurGqAsAhD1
+k2VZQ5MvaCOPpUjrojU9lS7C6NMZyAUgpyAgo9kM8tjoEKcKt7k3Qj+ar7CV+3vialxl20JRhBW
RRqJd1A80MhmEj/4LhH55Gxtv4qsZ38k0uWbk9AsAQDFCSa6wiJiB5smTpvosc1KMR+zgu7aPopF
LreGWYlTvkyTsW9BarS3Ki9670aSmBXcO63Iih3/bIxIhxqwrAzBfJBJRTrI8MZzC+Vuei082/UK
Bf5g+GinmsIoD2BUC7zpYWM1IIfj93nr2LhnelkmRxeJWLX2+hI7IVxFAAsMT4rmOhk4TgKXRgpC
WnI7akrCoOYJQ8ccmFe50QYmfYe8sjZVrnRxhdfK+uS2Af0SF4ot6mVZNg+VAitJdnObzHdj4A4P
RSybbgv613cvZgkUakteR9gfKWIRkngTCZKyCB3cqZh9oNG0ib8vGu1TywLd/jMNi/lM3SrvMYlq
JCVZjh29ldEAvKWqsKJ6/T193l2vXZ+B9n9mBpaCrnAgV4DugJOMT9Su/TMyph3y6t2knaQBltJB
EgYH3jzeWzLFhK+dp2E/nGztRbWq9lOCk2WlenyqvXas5lhXpW2M20G7WVvta3W0w5UAUmcvteuV
inlZJdoJ22pPrNthY5U9Di4kMp+WGufsoD202BpxQ2bvSTLYOtplq8koW6Gdt6n24PbajetpX66t
HbqcFtBL48+ctHtXYeONtZ830s7ewJdk0CVpT1HRupg7pCJcES8wo8xj3TF/jpdZ8Zf0nNJdAqfQ
nFKEaxtYy/V26vDyJ1EwrMnOyK9GMgpj7UIOPHnJjWjaitGLdsvSLOvZwLUcvPiXKV0vgfY0F9rd
XGifM1hQjKRYk7872gWNkbfaQPjCXVyW6thot7TLTPhom+AwWu2lpklxsgTaO2C9RFzPz7n2XQMM
P7hKPsT9/KymoNiOJuqgpg+e8xeFN0pM7zj08AAGLQBflPEu1ZLwVovDseN5W1MLxjMtHZdaRB5p
OTmK/+Gu1hLztp/YF1Gdd1p+DsSB4CgU6W2NNN3TInUAD/mhyMHTyLZj4v5Dzp7+ELf3f2ndqTS1
9L3UMnjGsCjiLR6eJxjyGJzcF/W8pYX0ZAWNHyotrq+1zD7RgnsvFUeCrUCRajG+o2X5/E25nXgh
tsGPJCa0iuHYfiC4xm1rsEaBJLNpaa3mgyHsHRFEAMoMi9957+rMp8ld0upgp5nVb3KvcSE7lQLn
sWE4XbJKXQ+edzYPyjjRnjWxu5U1avyGO7Xq0iLbLFCM3kV09e+sLCGrG0lcfBwTBwu4H9e3YrQ8
fEcgypAS0IyL4tb87JgB9ST93WrrLmZ2VbHJfulaL3S22RyW6BtVbF9PU+s8yCENvvs09/GiFtCy
8YEM5maZvemROVP+vakaQinnvBUfi8klBaqvmHQWVvUB8AW47Kid9x0VyztvlsmHoeXnzEDdtuDn
6xNO8Iz0V5ILCIJrn+jCMQZJSHrd4Z3nSYhsv36OQq/+UlfoCtLJqJ+xUMeHpAF0Qtxol+4wIrdP
qqxhmbjliG07UHm36ZeWlyOzDLVOTZmC/XAUHizLPva1SjcuLeQtp1K/2aWcm/JDXoHOX3VxOJDL
OobLFsSc8EjjHIMYLi+K3HXOaJAg2SjTz6AxnkI/iR7MnGF+6TZIQbEhVsb7Au1Mv3ar1I+uQmvh
V3XSARDz1I+o2YLwHHtA3onmWm5K7FDXEl7MsSKZaC/N2HkYOkshYZjd+uQQD3pOxrb6SOsOiw8+
Kw0OQrBVEKm6W/op3Y3lJPO96yIHyLJKy9ORop15iWpeKr5dmvD1Kc19CZ06qj43Q9jcy6UR79qY
+x0n6bxf5mLeexE3FQ/QfGXwaN5Xqqk+g1wvmnXhLBUhT3UCSJqK76CmnB9r9NOdaGR9qgTe8mVo
q8/dXDXPKM7grLhu/aUUIT7ipY+4rXWRBycYiPO+9zuM9oSSnuVSM1EfSj88T7HSUH0HYd3XBRgx
mUOVNdpSwxNEAI6dbRm0IOhq9LVeXa8AXkMo9/o+aFcQeMS7SszkjakyeKycKARE3ZcfndBJN12v
4WCWsQRCe9Xar6q3LaSaXk2enBlsQqMfrpqcD4+rdnr0jIR1MQzig13xpyvTCM+9T6bVCmkxFXgB
APMsAbIdmzTQkGSfJg4YhJHI67zjPwgGH3dyOAJRTJaq7FcL7zltrKJ9mmea1h5iy69uKNU6CObs
KJpOP+U9qe/MXCz1EOfRgJy4wzGJpKU+ZcpML17XVJ/sJHIeDB87+Koqxug8O7ATUSEVzTPSiOnO
c9r+vUkS2CXWXzcwNe9aJSK41HLgQqkBed+F8wFFrIzOsuWuQU6e78zQmL+b0BP2xiQVIqTGCy5W
ngA8MKPi2sGPeonLJb1Qsk+PvslEZhkHaZxA07cRDuOIzGwCsFDXItUmAECJtlnBviUNDesu7ici
4XLM9KjDLzLiyLVCuAWbEqckyb5Rz5MEmaNh6XUkTxprVnQm7KlEGSKW8s6wE5q4w5zxXZutFw1H
xy69Yu0jsUf0w5kJgnKyrvMR0HKZiPcy1EkOYyu+OUPSo7a1phrdTLZ8Ly20jGuSsnD1NYnqv1le
vyi+M7zGRlVxWxx28nYPEglxE6hU8W6xMuPidyarmeuQwFZ59X0XFDT+a6siKHYmKSIJ6nuBZ/WM
/jbed74O29ABJqxjUN5nJHTHwgi7pzqOC/O+MbyWNb5McwXBs+Tm4bO54Uwc7Crw6CxiEFHpm3Z2
z0DY9j4urdfdBjlCkiHLiDJAQX6s2Tav7UamZIa5YXznyLbaVYVsH5tqCFbNEn2HZcb/1VZVtQmG
yv4MGk7tZEUCQEX09wbXW7FWgwbycL9WTDTlJu0a3sMXjIHI4SNQhIyrQiakgGShXGdG+dD58mYg
lINZpBlzlmmazdj7yW1N/8fsIwAgedVw2dTBl5+L28glAw1jJuN1MzZuJseozsWsggeHMJejP6Fc
Z9ElgFgUDBtrocyjirvTMM8ZiPN+uDHDsbkuQrc4hVExryj1KQF9xn+0UD/5KsKD7haQIsrB/jpk
8lTHpmBJ8/iL3QK2c7B+YFq8gn4hn6i3zdVsTuVnf9RzprLbRXSWj3VQukzLIgrSISnnJ8h64cUs
onHnAlR2yqze+KMBKC2uy4M3Lp/o/+Uf0twFJ+KiLmaBkcixHU44a3eeZYQaL22PpKnbqyEwzHOa
y2rXwk67ypGWbxAN5vf8jUtTPjDe9bXhsNT54aVvuUivAveuN31s+ZxjVhxK5Sc/9p33Tttlhzh2
30+Jme9pl0bUgZRyqzwG7VgCYb+JPRo3pbA0OVJ8hsE97giwMfedJQhPizF/jgMvY1shY8MP7W/D
eXauKC7kUyIVguOp3PE6sQCXYANWoQPhwc98//uQ9tbTRMrErZ/7WmiYy3dVNCVk1fhyp1i7+Ght
9l4o172fcQbu1ADqb+dSFyJea8ItAJLq28KoiVjjkLBOSHHBQ1zgb1oZU4EeuaqICJGortdTlTQk
zpFLsUC26F2Hgp5sz0/JPKWncCwOHcnFULiAXpWIvu8XE/gU2rwdr+IuRsNNoaaA3IOmuc2lCh6z
tKTMkJjbWQKTVeV18cUzG4wuue1dtXPM6mVG2wgx+QopozoT01ySPzL6gqFFthznuRwIVzXYdnJi
w3jhSB+twik5Z4lNYH0N/5r3riGbe5URoQmEvxyHGx+Y43NOHtpeCRrwtNZIZqiXipZGHxvE/QR2
fT3TzOZU5w7I/YCLpSd/jM0LrtZTk7jTIRg66JRtepPxLV+1xeiy6kO3mBnwrIqx7a7p+84r5I4H
AQL/2WdmyjnnU1Oi6MsjtazryhnA0xSRtxqGTjxP8P6OpeV+FovzLWjK+iMVa/Yxa/OSRas1Holh
MHY21o1t5/b5/exQsWRzIxh6+53OFICcQzk0HQYrH2Du2+UoN4Nrtu7BTQX870I65dkYddBDgYPp
TPsGUJ7lJVineniPC8+oSj7meVLcW7WX3zsxfeRVPLOAJhHW4Ky1yIMlNORrHZhLtbYMfmCNCoBU
asgjs7S88bmh4uF7iznk5EREsUsYjn3MKvIoFuDLH9gt6Z0tJCJp8zX/ClsXwQ/I1dH1aoxLqAOI
cjTUX9u+pYnQzmS+psQEId1duuCj2SaCAFRtHCjlTPpEPQUfrbThEC6D2EC3uQTtV8IeAc5Zy+C7
2yVVxUNWTywMbQSbZeeG3VDuJDbsaNNPEY9HZPUUOGUBrCcCi6moMcvgI5Q6/oxfTQRbuFCU1EYW
Jo9RYc9duhlafsttopBLbQpUWu5KWhMXTYgYaK/iBRfAhoDHASPJiGw03FG88pMXw5vKo8T+jTdK
+rOxN2ZdAnRMSIm6mXL/OolMiZGlySlas8DhWzIWtrp1NvXBx6EZMOWHfUzsRBAq4hj7nqv2tU3w
0iht/+OPm6kGvCkrJEgiXpMMiTLNJfKtJAHCKfe2TwK9rS1Pa3pB3Ho06sWDQj9W7LM4od2DsgC7
XZFO6aESdIHgmkDy22GLx8uN8PVBjSgq+AqZt2pSqI6XdBX9kKYy0+SqRcUw7HOydKMbf+iG7wO+
HF4lS1XRjWOI6F06D9a+ID78KRe+e5+CLkH/TFDeuzGq2vkw0YYPzrLnQx+sAfUmrXbJbx0XAV+e
M0+FwfwPL8ia74R3l95/RFaYjQWKZ67jv18KAFIxp5d4xS/rX8/t0H6LkzbJ9n6Pk5rCN4+TPblI
1rTOCKCg3uXrXA4F/b8TMAQDAkHZUdGpCOIMNN6GJgq0XVCPqxoQEa+65MDNJsz+BYPEBNdTeD2y
KmuZluwcDTYkLF1CZm5hdasMbeCjSExrW2eleWIm3RzGvLfv89CbIF+l8ftlicZHRO7Dj7b6/zSo
b2hQUd7oOfJ/WsO/gPjvvhUF/cvhU/F36N5ff/DfxmuJVxqxJS8lsgwtu/yvENX8F/uEwAzxoidF
+fYfIaq0/oXE1GH2iSAOd7Ri2PGXENUmdBMfBbGaKIRQeACu/ieujBed20/dXglAQmofN6JQF2vG
6zzCLLfbJa/MmXy/Ip03vYBqQs73SMJwMJX+1rcSYa/zHMPVbuyoIFbI6psjGVzC3C013sN1BOML
IT/1jNpECBaNFSkR/abxv1RDF5xHB0JVPgtzI+N+YgumRSxWtDHbLQwJuVmcDAy2YbfCoH8xVwBv
I3hW2yaJlr0hrPJ9087NaSY+5VZAOCRzaFkeA8uwSZpjmdg2vlklmrdbP4QpaTkHs/bZ4wR42k+c
QB1sXeQTYq6DfUhxXNFQZThGIzEqDgiT4m+GQJQzsm7dTPyZZzWXSb/xCa65BjoMyUy4LQFtLspc
OKoqtLalMao7ghGzqwF09Tkuo+6GQ4qxF0GysIkFnHbLboDtMAYpZs4wGYDVp+F6msaeNEOnxTWX
sw4TqWWuhkzZj17Dbcbux8bZW+BQCweDYMEpCo1wHW4B6vgrGUtxGhc/v+sM29lBwMrvzSUr75Le
a84RnUIYLqbGSrtWRazTEqxTWH07ZEmQZBovvylcEZrbmRosQgxYLcm6UOaTcOHn96V8blXYPQiM
cN7ew4uCywu5Aeku+HrpBPf2+ylL6bT3trfnCAN+d1iC4AbDLE5g22RLKIvlRlErXnQHP9k6L/kz
Oomm1Zk0knAad7jTAQQbmC31Xobmnezxv63bkkwbYbT9B6FzbtjBpvPQJmrto042ODSt1Us2TkRK
DjRAOEc6OcevKDmUTtPBTPcUj9LZ4NBMN7PO3Cl0+g5TwZoGh8oPI9E8ZgnpOE2T5BL0gJshkbmw
5bRGiq0tTWxvm8uRoM3eLDfBS/6Pr6OAEj9QWFCIB/LH8YsIfGNXviQIAaQTFx5yss90wFCro4aA
H9tbxrI0sRlWbgAf35c8bSDG/CsMstEq9+jPEif4vOTEYDM1MXYRwkqG70QcjTrsKOwZAYqe4LRM
RyFJGkLHSscjqayqbmYGRCfXa2tNypm3DdKadfYSrTTUPDc8thAYdfQSFTh1AYSOTcKUHTGy0yto
I4TkzDq4aQhjSYgT9Mk5FI9eAPKcrpcYCXuCUCKJfkp+BEGNP2KhZoPExgfLStX4oFoG7/Tja6Yw
7znuhsnWVEl85TSme995jLafJrmgPQVMmdm7AgxOjMUwnrk+ZEK4B9aTT1ajCf1YNMMaoEiEBV2U
hnrGm1skxxHtSLXKyoWITU5Iiyw0/KgZIB7HcnzosEmTvxWGBomDqW0OyYeUE+9SbECeFMzvI9Va
67ly6DsPrTWxsvVxGH7IRRxm6yQSMd+PUebEI43ljIVkXkSILSyedNbVOLvhJksKz9uSKAVG8TB3
nvzQl8XYfXFTX6QOGX6L3w8rtHblKe4KGzBzEaQd9qMxzo1D6IdxXK5w83TBuyJFnrM2axTda6tr
GGJYhph+zFv/t1O/sVMDNdHRyP/3Tn31rej6L+n8Mx7lrz/0b7uI+BfTTqgWPkLNnwEpnv8v5ICI
RYFdICrQHsh/GyfZiAXKbhxQUDAcbSX57x6NE5PoCGphpOX/2Dn5WqqMWQOV8osukA0fafgr8Yjt
8G6wloenQQRw/GxmtvcjpfXOHgukrLXrnwYyZ4wR/n8tefshA/mAvIbu0Lj5sLdrhrkw0KFA/XQb
fzMLR0rz91kxvxq3RJkI98kRooZ4JemZWjWrFMXR0WXkV559wOZnb3FQByZGoFIWMSCSQhpyGzc0
WEOo+0Y1tOscO2LwlVgYcd+ihaybbTW7wEqWyghvZ5I5u7WMWvEhZ2bE7CMbKlrkUJ84udKdMPFc
K681NtLpDO8AWm3ZSPa9LtoIxn4po1KJl+8xYrx5KDlaJePaV1l98WhqzBvptkDTiV/wT2BohY6p
SLZTA3bCo8Hdb/3Rs+84nfSP5FaSAtjU+bDyM9pmQC6T+nM+5ybsMvpPjC2bKmE4DkGcaZI+5yAD
ibJTB7GSYQaNTm0ftOU9w04gSuG4Kxpmh0Fo7Jt4aU51mIh9TyTRl9iMmrPPaH/jJO0VwppTVTrt
O7eI6c37INXctu+ugEsMIBAGmB0uxRe6u8S5rdFW0FWLdgYjAGaR1HAXQ/ofTBvPuxG3ZblZiNJ+
toKgAtGCAvqGhGPjfulTf1q70UzWUjxM16G7PDAOy84NGdQrpGfY4drREeHOSw35uWnzhIIlalcT
/UUmowwQnYvppdVliAtqxMDL79SwYHRd27QXbuwiazHJhg2BHsKIdcr1FhurtUPVip3XNFkxI7s4
Tk6l9lmWF7vK7dDBiMbp163NQHahXjlMQAooDH1jZS8mc1Kz4hS8dESV1qFzz12vrzwnbSizMvMU
UjSfsDN7J2ylGQKNwsyeK2iT70oXt249CuheKYCEBwJjl1u7sKZrezDdr6EbOTuJ7WBLRgikF4tG
DYO6ZmvFZeesuO+Schcn5arC8/gp5bGH79JMa0yE8B/acLyY7jDe+hzBrtTY9ttMxj4RClG27Qxy
u60xtvlAnX2hhkF6Yy4W2Y5xxCMNsjHYAY9oZ8gI0nmGvSPXxpQZq8DzeyZ/o/hkhUm0zuEdfKMc
DG5qOh4bqCfNQVaS0JgOf+6H1pqXZh0A/T9ag5M0ABPsOVovnctQaCgtEkFc1cKhsOrctbD+cpqE
/OfPWC2zcKHrRP9STa3uSBhZR0e3EVc+zTOFxdLMjoO7IIHORQYIgnESmoqRu4fJZVnLIdkmIAp2
2WwpZuxeIL/koxwdCEhj824Zq+Jatx65fUudUiMmwc4usZ8CeNFvF5MguQozGQz7wclsKk+mMfcu
J3S1d9PSObK5P/rRuHx2sa5tg7GVRx9sLcQTWMKbShjlLSvh+GGIZq+hJwjVdJWHC8CbNG5SH8ZM
Mc6rsm3cjwWCg36jmFJwJkARPhBKWcnjJJaRhBjE9VT8Qxfl13Op1WL+PAzHkgqRrgyLCCq2wMvO
dBQdelRxaJ3bTI73TgPekM5BRCTzXLTZWfJi7BnXcvAY4SIau6YVTEQwDju3DsvBFaShDGwueZnv
kRHVF/q5HbNnOJs3QU2WiAGest24NoVqrLNG3NIyso3oY7kxS/69wzOKEFwnlAyLam5GK4ruYmtM
HyudZOIpMk1CemCbvBoR075EnnAISb8kYUcQSvwSimLYjUMO65wZzzC4iU2ZahJULHskTMV9CVYJ
GQk3O6nzVggIZtKWi/FD6IEUIbB7uIAFrg+waDaL4RgN7SXyW8yXKJdOp7pEPvBvd4TcjT6G0JdA
ONE951vriQDL+OLOUy4ObdOGd0itqorRUJdma8uN2o+UZQVUJwiWat9o4Uigc2ciznbUyhS9Nx2z
ckKQxKgiTCceJ6d07qKzMekUGw4hXC6jYcekiNwJ32AAULtO+xFFMZfALr5cS9bmXUJSLxNAa9pi
3K+3rA3TMdGJOjSiBH/hoWOd5yVPYboycKDZR7A0RGn/JZYnUST0iJewHne2dHAP1qETYRnE+Qxd
3V91nuO8fG0Hw4uucrMxohWpRWtrEO62jZwviU3sxOjJCkjjZL8njaU6JpXr3vl44rhq/sWqdbyQ
r1L7PBn/j70zWY4bybbtF6HM0TiaafQRjCDFViInMFIS0QOO3oGvfwusqmeZVJpkNb+TMsvKZDQI
h8PPOXuvrc40xtlyJNCWyQ9JHGL2Qmd3RUcbLqxZGBtfMNRSpAFfT7Ly9k5lKP5g1tZNyY3ucEIl
+AgxjVhbVm9tmPoB68GVD7VZGC+ko9W3DTOlK0eCRFjmC+UzRcfwfVjCljJcGhsyjfV+OZe85Uso
E6tU2mvnI6vJgZ3ub6k94jOZc0OMz9turmx/iYGSdkzek9mCUEF8ZFD9wyQPyJdfZEYbPffiyU27
rtzWS6CU85EtNX3kTEXOkjmVfuRPdR9ZVH7sja9l6y9BMR9pVT2A32fGmNkT2Qb8XPGr4aTDjYFi
4G4S7n2mQ7lPPzKwbARDM/Dd2L60HylZ6O6smzBDu8ARq3qZljitjvbohqQpfi/Y2gxlmF6WL7as
C16TOC5rCeYCKEzqi7fEdfl1a55btjPuoiXOK/pI9uLcRXsj9zvotjiSsleals+tYQKunkxSDGkw
qlNKNhHIhtE3nJWNliheA2mFgWuQ7UcguuiuqzSdbtEHJvc6H4SNLwXt9qpBE7Hr2/YuCpZJgvTl
JZZVTBwYt9g5oayUG6JCCAgZncRmBlU4IPwXZneYTkSTpLp+84NaESo8G1SVTjsuB0xpNVviZYPt
ZIKAwJzXzIBsCNYjbKR3z11BPbZSSd5bKw0TCwBGmg7n2pwpyUb2kRTSmINEg+NJ89VKvcm4Heiv
Ovueh/4td+1MH4Y1EG6DKndPQ0oS45qQ2rI+ZDXXcwM6LA55tDLihABh+/e4chzwA57RMoFmyOUT
zQhrmBpy71dunl6aeMo0Pk6vIHTJ108NHZM7QqG8lxrA7L5yEVvA1sqM73SHyU+svLrc122ji7UR
FYz2YrBPcEqJtd4TD21+sRIip06+SoIbYOzqPSiFk9DtjcQRP0IuoI4MdLowXpCDCOXA7q5cytrK
/b8GLPVY0k1/Kutom/62AXuuelILPkcD/vuv/lvX+f8CiIP91rF9RJOUdv+/+xpAxEEnjisP2ThK
+b90X237X1QylqABy3QepwQa4P90Xy1eMKDcDBYvH4VfYP4v3deFJ/BXqS2IRpwQCwfAo1L05Gen
J3rWsaff2hwlC9ffpKlh3gnwcsB/E7Wr6tTHdK088dYaXvjgoUCASV6GJ6NJ0Nnx/Ae475nnSrjl
HhT0sDxTEDT5nNcffFVwemAKToaT6IK1SSrRjVka/c+0IWCQ6RVRBFbdbVWB74G1Hl5QRsV6A2R/
2DQ16n16hc247wpjPrAPufd92evr35eQn4wRXAHMA0TQchm4prgI/i42TjmsUagqdeSoqb+40N+x
gPfwTbpu+V587t+/3ycl9cf7BSiGHaTiuCQ/G21ouwgdZZk6jkaDGzXK3zj0EEgecg1+/06fhOLL
O+FGMEFP4OgzYUf8/ZvNPXpCnu75kRlXuwE+MnGSlMbet8PkfrByZz+RZ3r3+zf9h6/noW1aXM1A
HvBq/f1NmRCRt8bp89i77Icrgwk0CG/LIyZXS+TB//u7STocvkPf3YUV8Pd3iwIf4EyRIkgSo8wu
ZYOQTbuNOaLvDR5+/16fLXDL9QzI/AakAxPXMT+7h3QW5XGRieRYxzq313ZMLb+p66La0Dqn3zfF
+qannD+PbQZ2Ek+R2pIa8id9/K9XGPADjFfgriis2FT+/p1zswWY0XNirHumzhse9C1i1zB8CNyl
nfn7L/3rGpLwsnhUL95Ux/nc+WkolO2ucdOjMuf5tvKbdtMZ3MGKLMX4OLUJecBeSWjAH973n76k
BzCYQtmlJSY+mRyyKGXs7DK5LMd64FDOrzna/Yh+KAFS+Pvv+Om9HAZCwgHGIthU4bV8NlQ4iTHC
2QmSY0I9T7TbBJRHiQajOtEEj79/r0/77cd7SZNgUcZegtzrTz9eWnTUKJzdjvM0j+am4rRwyhN7
MDe/f5/PbbHlO0nYuDhtPpar9fdF0rs51tFKJ8dQYJLmNEM9sXKmErDeYMv7OElojWuG4clqpoFE
ikURxZfff4ZPa2f5riaG3cW/CN9AfF47FGdZUhPOcQzxtFEgE0ayimYjuoT2VJwq0hI2mBGmP+zn
H5fwr/NE3tZiC3Jd27d5hn6eJw6Ry+ku9BJIS7A0m9QtTozWp2smNfG+sRURH51R6XI1Tjry1uGI
B+E4uqX+Ybp53TAyDCD7hmV4iASM3zCB8RvOqXH7+6vzT59TCp7t9H0B/mBU/ftPlEk7HGfPMGDF
eu7bNPVOsx7ABvMTgUJ0DyXiUQ9mluF5nMLH7CIGa0LDClX/2GeVcxV0QXgkQda+BpXbejt3iKuU
pLHAG/a//6y/rlofx5EtGM1wInE/f1S0YzQC8jE5FoFA7Jgx88+oXdo/kat/vRMJUFmgQFhQ+d/P
z8bEQLAdGm2Cjb+ab4NkEXKUWSWv8taR97//Tp+3c5anjwON/jHaLXrlSwf/r5amyW9l6+iU7ZyE
i03kh8NG5HjJc26VHQmH0Vrpcboy0dU9G0UZ7Slpuj9cWFN82PL+vlzBCgjgLJJDAR/n0yMsb5Rh
cWfgdOjHZjp6ucVm2gVMgY4YZedb5qziTcZoJDGSfohFYoTLCTYifwUjX14RFhGegr6fvgCLs/pV
Wy+y1Drv+mRtZcV8yeMWPTHW17s5t8P3gYDPJ3/K58ucN4gNg7px770aKZzFXPxqaAQbbluM1p3s
M/fejZU4dGgBznHpLFFbKjEeAKvNt1MUIirNaTjdFI3oXvOQDC/i4MNLa6iJpC5dhu/I26Q6lUWN
KLMcVHiYW9NpaZWiUl7ZXrOcEarMAQ1SQ2ONg9D8XvaF/TjatoKTHn7IC3XovOdD54ybotN2vG2R
Gl/I1S1OjmRrMZsheetjNm+S7eU7nWXfIl6WYyPlmCB6fkyCqN8J+DD70REchogXaX/4AGC3ZVp7
z349YgeB4ch64+6PsAbAwaVTqEiH8K2WvVO0vfc8kxey0VkQXbzlb1sKXSKlQSVt62Rsx5WX5MZD
UNnThedM/lTX03jzcXlDd+wgP8fiVtl1nJ3w8OfxMTQj1z5ZaP4vWRQAv67nOKXT/LFb9eZ01XQz
O5SPDu+lrDJWJLlYcALy3IQjnwBKXkE5JvmkESJ+cHTifO1JsTBg84nyi51ZHv58h9cZify7uB2B
sUSwJm8NNppyFTbNFO2DOchxxwAOuocZjwqgHBoLPwnXtoC68gYCz9qZTeW80mYi+oWbBmVciMb2
Vo40utbQWPQXAawaYK4zxBvPMZMXiLhsTQTVPZmTcHBcLeuwGKvw5PfpGK2nGMnkZtYmBxizqOYd
4TOsJa/o5ks0Is5ehZReMADbYb4tpMHgaC445/Rxq8Bl8wXoAqcj8gKwv8aWJFv1Go+RYNbis3oJ
EtFf4Prp6tDHVAwEoRoPLtjJJdTaAV1t5Okp8/NtAGORBGBH3+AcqXddSrc/GudqC8BQYiypmtuo
ixMyqZryiuHJEtGV4y2yWnEx7XI+McR3DxDewoeo8zAGLrnUbpldJt4NTb70borZ22cJmsMay9Ne
JKn9DDERyDFGC1FNHWMgZLTC0DNNR6hMJi6JXaBBqjtNmWdrrqr1FCTDTRKV0yk1g10c1/Zu7OPq
hHCHaYtBUAmZNMGqLvha8IubdZxl0NQGPEvWEpLWSee5YeZ0Ifv6ptHdItzEnAQTCRl2YJHlUyeP
LjDx7dQq6ypHmSaQEq5VB+oQNBzhLTNm/HgW7iZQuNqSIL5r4+mNiMVXhYhhmxINhugB6ijCReto
CP8bEj0cToOt8vWkfZ5qvbJeCts5zbDXyJBKrmN3mYE77sMwhFdV6UXfOmXN2xht5AlbDBuws5yR
Cmu6dhPbvhBijDQ+yduTMWC6wcJ9zrx68vELFqlHbvayiUTtz1rggJpMNDQMxIcQ01RkpyezchZi
uhF5517mfKAqd+AsAU+bH+Xs2Ds95mEP5NEKrjrTrG84KDnxZnSXwZkncrTwU/RIy3K8nyrQF7Ty
FdYrNczTJfNmexsWrreD++r/SBErHXXu6iPNYog+CFnsSxOJO0QZ4503TtPWnvt+uzx/5Ire9QAH
SNXFl7ajKehxp+VHRpYcBSxoKutm4iwCu4RnYem2axzcCVtROa4iJ+SJ4EWBd1AppU/P+tsUHPN2
SFXpdWGsUOtGWcVNK7onL4dIZzJou3bgwZOxmKOQ2XRu5qSL4rq4MhDa78o0k18E1v2d6/XR1y6N
xisbkXkHyv2Ujj3cUsSywYud6jYkF8ZqYRawTx7LoIlPds25nUmT3x7moWBhppwdKBFy4xbFr7ct
puZbSYw2qvBueCZY0H/vHA0P1i1N68EqpPdVoy+a9wLvKFHWI0rRquc8Vur6oOY5uMaz5d42OZMq
2OzEIHS1d6CCDg6BNhEqKrNvfioL3YQa0+lUd/bFI8YK6XQzwuINzDN9ZPRYUelBgciD2zyskcSE
cNcp/tPYoU2Bn8kgwWhtdnlw4kclzFz2eI/jkCC80hic73oW7a1H4P1R1yV5jFVtbXyXJeCmJXHm
iFv3o2fkO9fvhi2TDIcktbb6EnWtTTq4mR7DtLYuXMFkYxcDCa6huR+kZGEH5cWlfbAOi8D6EmHQ
P9Ddt89BRB59o2Z5H8raRDQ+VvscJfMux8/x2pM/tmajqddDy5Bv7UN3TVZZKP19PJRWjq6b0RCR
bNFTKbR93Qu/uhEop7Z40Cp3pVqU6NsJOYqDrXvI9zkKlmcMWzRxqjq60ob00SMhKjuiwZl+dpTj
584e+1v8Rtpf2SpgpM48m2c62mRcXtUgr6nYl7Asz6MAMKtTbk4dd1enLmNa5F+UK7sbH9XSwa5x
tqyTwD8Uem6Oo18aK4QGWCHRR1/SHi2YEw3F2xKM5G4zFdRfnYhUCtdN0UPJIkF86zGSJQWcXlKa
N08eJreCl9420IxyJu/4btYtoXmvgpEEVmCjNY6RWuK4fBNhWk2c3AZfUX+FP4z0tYppvOyTbVZY
30cjUJsEBg9g2MAmPzGKpgvju+rNM8vhRNIk046AZyAN2HmPKSvcMHjrvphiaN/SJmPPrnOeGmwC
TQZqc3C8OpOPHVmDXvsdgJbvrNBM6/g9BlOx7pI2RyPtdCVlUme8125cXrRU1nUyyv7RiMLhzWkS
/znqg6ZclWXASG6BedL4llORewUy46I8GK4znZi3Bpi63eHr1JkEvmZFvTH8IcctXS+TS4xJa05R
CB6sydt0eU1Xw6rDo6xybfOpOiIgylRcnDHJNwTH8sxglDUV67zvgUmwOcWEjaak7prh2J3MplD9
pnOsiu1smqN7304tUqCk1R9loHmMmHSHWJd05Ul4nY0HeLtiF6BU3ioeCntbqO6k5qT/rqiNlukI
2QVGwVVo/OQltJalTEdJXGJPWSX8nkYfXGGHTxOUzFfDUsa7hfTjTL5H9CBLxIUm8X177ejgkdTW
YWX1snkJlZNwnBSLYjR55GBMblXoCqCP9Z1rk9/GrHya2V4hxbGoiichgdgJ30A6qLMVzgcQ0J6/
cxg4rpqS+BDY3QWe+ph2J75IzEd4bH1qbOT20DexJb1hx41xQlMnr/q4q3hURgck9xaivvEnLL9g
Ty3vrGuGBjtCQb11Vrgnqy3k2iS1blXIJcwwgNTiWwaBdSxnkWrzapIYd2bzdVa8cFz1/t6a6myF
8zHfO12i72vXitc4BKIL+X7vQItt/CJFuXKHwTolNHa3Ld2sU9JM+SEQtAcsvWAiVdPv8fSIt6wz
gxU1Pk8dDkInB43mtsVTB4aga8+i0+k5M/U+I4CVKAcYgRTV7qYbNaJbQRyxo92DbOp4LYqBcMJa
bXIwMDwgqvCLNlux6vJU7fyu/dk1RrVVRjXvTRfZWlEHL82EB6dBQnfVKXoHM4OPdGxve9woievs
qjBG0tYH12XRkjNXP4/FfNNn4amr3EfVhBe2XBpGecJcpJnf0zp6All352EUUJym12WavwYiWeIu
aFJ6XfCGX6xdzw3S4cAw5WOVJ+R1VtabDkwOViSjbjC2Ei/WdBsErchQFQoEbyRmxP1eDAG4u4Ku
9koaVATR2PdfZ3v+TgrT0U0x9NZeToo3lPboq1Ataoem8TOQ68y+pmlaJVVi7815O9TJNz3o9gCS
/yzrR+EPPcIgEClxm9xDf4sPHkiGNfTC/pthAUXUI0KrgRrm3PeNcUBVsNzmkzhJO/G+uZg6GSjV
mDbaeGyOSe3SHh3TpZwgM03vqxHds0Cj4KzQHM3nbpBGs4sLfYcKPPgBjngyTobKaegQa9j6Ym8N
+GmvmH5DaFjVCA6+5FazvJ5VZ4Sq0nQeaVygFTtGRceK9saM8S9dTScF4pDm5o58F2xOGeehg2f3
HuGZfeclG/JZ0noFvaJFCjJScmYBmUEwF579CN94G7rcgLwrIwaJBqLhKEIhtSGSjrIoYtn3pEyE
OX2mZaYxVX34TCqesQ2NmhqjwlWWJrPGK0a2tl+H08VwCCWyEs/YdlPtiuvUkAQ9dsFE2dF7bEtj
m9rr0lyqE6SZw890tsab1CWKR5jZvMOVnJ1iDLvPUWHQ5I7QuN+ZrSTgQzZUIkxgxVtFppG8dPGw
lLxBR+BPTFzNV4J5OTrkwGj2yrSbI2d7XhqZsoGUnAKd8SwSO8+E+Qlqs3txc4ArSbMAfJxYfZFw
GDJzIHEF8SsSmwrAeNbyIG3t8GTHkqZAS5Hv9x49gmVS8/F+g3KM7YRy5Bi6NjObLB/2oJOLbx//
SeAX1h2xSO595cHe8KScD5adqde26KjBdGPRJfDt8WYkGZiUYbHMeubSvQ8yLiaQULkScVfvPhrF
KteMUXTlb/qMvnFeJAqsaQJGxQj4iEU8ZieXSPe9W8j2a5V0fAEMPAQExXpGlYeTFy6G+Q13Cr96
mQk+86ibYyNLzKR68awbsTjMWU82qQISg4uU74WLJnxQkrKvHmJFgCy6/T1HNWr7vs9BCkAgGIkT
mumK0LxkM+ixmIWiCRDtDRIHaIjliPUvZuMcVJFCwm+QUpmldBT9+SpooM8ABQ46WjI1w3rCbudq
12VAaM85CWDXEkHIVZXOTMhmSfMqnLPTx7ozknLeDdjpOf53+VPe5PNt3LUADwZtLJ8vVuG7wfCY
pghl1i3SXq5J3jNlAyUPxWPQ15U3cNloUq4dE9O/VZrlvlpacW2P9N2bwvFmzkeQAOQ47ojEmi+d
sySgB8Pygnnq3kdWYGw/qN4qR9/Tecrf6NIT3wrBn6BAaI5eOZArX3VcLdPVLFhYsdNl4IVI8G0C
ualHQ3yLTemk2HwzwDgt6z42OF6bHn3WzUfjyTSs8H0GJ3Q1pKwme+ZFU21Ur7QSyYPhcT48dpY2
z2i+w9OA3fuV8AGy49G64ceIuYUdu2c2SezwKVRm9Zp5LaKwWhtAXkkhEqgG8tC8ozjgG5ZIRHuM
ZaRHrH20C/ugTKwzdUvztSPDiehgkWcnJNTzZUDtT4AvQIyPG9Zqs/hHgQvltfYT3lr37XDKoYIc
O1quONR8o32dF4wXnIXbrubvAkA+V2y+b71shzVqbkqPTn3H0R+sgXL7+3ZowpPo+HW6LuRm19yB
YT8FdCzKYN81Q7ddIlQvNi3wiyqIrm5GtKzr2Z3NqzyyzJvSBuJDYBCfvKPykZuS7XAv8OpgXW/4
ieWyCkZFa06qhcgEJw12i4+4bzUGPasEGMdbBODrlVGkUaERUdzTVSPJdqM6RQHI/ohYv9xHbmQ8
EIsavnvEsharoFvWYCMgOQLmDU+IzPCm+fY0HwwPQzqpsJR9BJEPP32XOnlNgaG/kS2hyfzxmUK1
HMgbWqkqAloJvWNlqbQ+m+1QXuPH7B8SMfo/1AB6L6k06mEZ59MqGnkyOQSA7CbpTeTpEgpyJCQv
fE5dCUugbeyGnE+AvsMmV0k1bT9awv+nX/+D0MESTKP+0j3/xWl2eeX891r++Kt+/T9/9F+XmVzE
DJ5gNuAsqoQlx/M/cQdegBadYRTJl5yKkbj/VcBOR8v3OdkCDsFnitrivyYz71/LnBXXmvRgZHv8
q//BZLZM1f7WY4edxCwa1QRQMesX1HYp+rQp4mw+eBG+WEZgTnmOdDQ9Fot1JYrgr//l8vyDLv2X
gYkQHs18uv18curcT019+gYxklsXK6hOm1thDMPaJaP6D9ODX4Z8fKVFs+A4EkfpL7L8Trb0XWWs
8YZgdB4XMEVW4WVJUC1thTESO9I2MKfq1LhrR3gkv/+SiAh+ua6YC5bkJmT4/Maf2dLMHNguJ687
oKHKNQ00SDv44cRhcKR/1lbcnHSqQWDAV6INpuiyLF2MxEjWLfvYPY0gk8R1yrULsq/F5W7iW/Pn
ER6ZlfHf5tWE+9fOjXlY4eLnQSlBukki3afpvSZjjHBgn06gJlgViy07rOfWtGxk/S1M6mm/jA9A
DEUmNJ+qtmG9MDucsedp0G02yI2GEviBmkd/6ew+PI1uq159vIYCP9gwkVfMNxrKfHjKexTMbarL
c2gCGWpC0AgwVazyHIeieokT0B2oVfjDUSfBGWv3kq0GoyQY6GrjAFKiOnKpcNhGiEJMwgOxRe4t
hjcL07m1EJjjJp+qid1Vww6R9VyeKyeAd8PTAJyBlzS3EG7R3A0e7oS08yio3Jgxjq2TA2cWSPFh
AtCrh7jDeS08zb2n925t5rC/Zj6O3Q1PoB5AEqWze8+vA1sHbca2tGj49q6uv09QBtaRB+IvGcvp
Me7C6hmdOL9MrUpxcMeAe2jkwWZ3ZXB20dQfavJx3seeFD/R8CeTaNqvWO/8c6gjyCJRZz70NKm+
pt1YnnVVBeei8LkiQVo78GWLEQe428/4lSEObVsV5uuxHHA41lZ2B34nWPWMSdapVTXfnZB/jDJE
TesoteboQPOpxcnc12hQuZ19Mun2btLnx8rnx5080C26T6kQWrtsSqSSCFNU6zNgmxdqE80r/J1h
dheNJmlzflxfo7pYVIPR8DMTqPFKAjx2RS4Em4ZZvSS6Hp7CoJovQQ0GR9nxtFfYDlam5hsHo6Gu
w2y52Y1a3hiRGOg48l1c6GPM9GJCX7OMpTjE5fCT6fi0nxLLuYkcfokP1I9TqmlTUD4WPOB6rmvG
8ZMupYTVRtDYptMcIRnxhuEdzK36u0RDfAHfMz1aI2QUOqsZYn4CRunFdT9E6poPqKzHDVIrahWD
a9tG/I5pv1zqZYmSATb8nPBK7OZsAlVYz/wS0BamPRFp0zsaR7jakRee8jZ7HnFHMkhsipvIf6fw
5vgFJQPqDuR/6xi38kXQflhcHv1TZLE2V5aRwdMTlACOk784MADpHXqKWbxkUS5HIh3zQ7me0e3C
2lE3igHBTdCN8gbuoflQJq167qVbvRi0lSBBUXJhXqte7EJOV6ltyHvtLwMAI+Xc5Zdj9RpxNCnX
iT0ZnNEw2n58OT/mJmir1rjTkyq7jSYW7TL6U/uV1ifa3IoBJ3ZEro/ZETar87RYu6NIDh1cCxMo
iU72UieIA3JCLVm1GUQlhlj1NzPJoB6IybO32Lnr6861It/66v/bojd8+PWSpneeE7MssPERvVY6
B9LRjXJrCzH2l6keQ3kaI7t37uyMRkDt6OnR9KlnKheH8MqUukFnNLs71qGkZYIykOmD7tia+vK6
r5gTdKywkwNJpBOtcVuJ/M6Q/bVTqGKHSlnezhRNsH3o/TYyooccXtMwYezkcROBFYuPhZU9tkit
tsh+e0jE01viM5F0hv5HFlvF0Sij70gU4mM8u1A4zF6dK3TG21wOmtZq1P0wEwA5UdJe6a4Od3gu
zJOes2Bj0vdf556MNpGKkmsA8pTdgRqmdUOF5Kb+ychUvUlyouNXKgjrIxKBxfhL5mVNlis4mgyV
fZHn7xGQVbrNcundt8RYBk55N5VesrUKI7hK40hdWjcdd27MDVunhXlFrL3e9hilEdzwQwIvFUdB
C/9QeFQ1qsNwW43A4Gk/cluWZrqPhbfwQQpxNcokICXEvLcLUvFcTFtnsEJ2vrW49t9bNY7uWtaB
Ma8KfDkh5pFuOFgqQYlhjgxsQ/oxLZ260hL9MYL9Qoc1IMhWAnbaTGH7Hc4JeTMy4pnHA9zfDTGP
udjS3TYFkHuHVtFcmV0Gn5TOAVrjjKDmwNcvPpKe1Whn+qrU0bDy8yx7DgygQ2sX2y2ZQAN9Js+l
rEMDEa+9wbE5Idr1Lacz2paAQr2jYn8Vm4lNJF7VmbLaleK+ujh5q66YqwI5tYR1tLRqSZaOuava
LYVVvSqJeVvRTZYn5Tb6cR4JAmlSZhh+Wx7GfGMPRkUj2J1fCQaWR2sq5geVKiDTZhscyBwPjkUf
Tl+SzMYXiwkanJxyoGjlBcs9w84K5oXBmO3cemQicjiYTHIDG3DtQvm72hiKrbGMrEdpY6QL7PSb
58L88cU04p6ahhWJLgBhY4xFfVTc5kTcrlvKjWOS2DS1nWGA0hYFTznJpQBDWPEAwOKjP2i04GPo
XOA4OQxPRuMOsYF/bdbzdFpEojlT8iBm1O82xU+ivq/jcPbOge6w1DojpOVVLi3J+C3OLgoj9hEK
IhOZJHabKwDn9nOPDN3B/zRi77FGfAzxxFSPuL9U/FRFUeT4AktXb0QqhuOMC2atCqPZ92Yun8e8
TxiYZ0l6drqo/U6stssIunWGOaI1naXymfCu+TDGWZuscIjQmAODRHZiLIc3OGbVGoL/ci5Q9a3W
Xb5x66EkdxEPzBVGL0BFIUmsHsuviI+NPTTnoG4rZ92g3ceBWIHq03iq2nWawA2EQpkc5rhUb5ai
NmbGOGXLb0PhtxyR0tTmObSoFFLZYrsigJDNWXU/fIaIkFdGC+KsyFoeOIpd+L3Mc9oNkxHeKSap
3APIL85eKIiNIS+FA1GcFB88rZs5SYw7o1LqORgSO971COr9TUR4O3i3CTWB42r1plU/K/BL/Ejm
zNN56jkV/vvwVSeW+QD1of2hUi/1N5aMl3i+gl7/Sk8TCcWJcu81JgDIShwYy62F9WaTxhZ8SBI+
z3kzzwdHtGhRqpHNuEmB8IDCBUAay5aHe1BUxl0ZBf1TYtnRTUTw86aUrrqO5o9PAYLSxqkE3K8m
r3IlETa8dylnkiTwOJ4EdW1+YRssf8AMrIaNgZ6NpzYaHzdiI1oVYNo2jOmnfWwa/VOc0NRYmQDT
SnrszbSPCne6wo3O9++HcfOBSaw4bD3Tci7W0FY5/gZu9ex1Oj8yjiG5IXKA9xV6evcnuJF6Ditk
MUlAw3NEgwFeDcZPpez8mGFp+JMM7p9qiEUgSL3kIdhbVPB/lWEx8MgqTPTdIYIUeYL+Bf7fa70S
+kzd3DKi5nhvA9MY+GFewHBALBpLLnbfyT8VNEvm7ac68d+fBMEGDS3vM+W6r4gnp0/RHZyEkz8h
2r288dxuITzSoJocDoRxwJXtIrpUHtlgOA5JkqL3+hKFJQuzxJ7W2sN0VY6q/tb3jnMzJJZ+HDlx
735ffZkUx798WAgs6LqRd5OA80lK6nt+5g1ASw5GssgYWrqwk+JGE2aKBa1n1fEoYoGZAys+g8a6
ETynlkl69Zoqzs0eE88/SD4/NJ1/r7SXhBxyfvlQHsL6T4Vv1NeskSRqD0VhM00MaPRuWr+vz/No
DPum6eMNW/O8nWx0UEhCOEGliuLVgx0CgmzI7tIRDCgRvCicQln9wOPj3fpupLZBRwZXaMAXW9Wd
NP4gmJXmrwsRtbxP84Kimgi/z+JD2ZNxn09jc9A1zzSMZCBd6iKY4LhrdqcE+mwQ2947KszhgOoy
2hmm9eqn6utYRvY2kRyXDDlGm14V1WVoLOd5UKq8JLOdXQlR2C+Wk8X6oiJFpH0Txz4teDPbYOqZ
dwkN7H3BVgK2IZE3BKarLc4gzqtkrZ45QDK+0FDInZjTfFP346ZadhjL6Y07IKzuvUHHDLFdJOTK
Kh0ooHbLHus6yP/bsUKO37OB0WHlzE6xTF0SZfxHM56QctWg8UK0sZzVyY2tb8u8XvaUYDm2Zxzo
MYVjelpwsg6zgK2lQxikNhKAtGesMiC/I2YB0Ogi7gWyJ638pbHRDp6gZHq4sgDgcpEShCGGbju9
laDTxbpXdpgbB5uYYpwe0uqM1iFZvC+tpyp0YJHWtsqOnjvn0RF3HXjIefk/Qg704Ua02G7WYeJi
nl1JTtxXHyhRL7c1MLWRM30jFqgrdnW+cQT+AwOxpCL5yGb0UNERgsAhn3JaHKi+2WJ9p/0KTZmx
dmnKdSsRf62LgBa7bijc/NhRb1PaEyyWdMm+HzhdiWxkRTLB6DZx6fZPXZK/eA31I8I29eyPRLRv
mmnR2yzXLsgQgpzmeTHJyNi4a1LowSYPjtvMHpJ9mEEiX+OZzY8daotXjfrs1ZlMzoZWbsHA0/ye
duc3X6hE/fNUC0ygI0W/m0ODLVHHfcWiZh+FZjfqltquxN67hiOLG9CZc82UMR/7nTlHxbGBrH5O
S89ecXbybgu76Z+EiaSRnnz1KluiMlGvT1fKpHoGnQ8RcdWRDoOVjoZSXefASr3E4w522E0gmPob
2++ojELyL711JWfukRaJg7nSJv+yEzMI3xKInl/MiAipDmGeO/DKYp6JtarpymFPJ8yNxOFiFRds
l3LyFkiRVX8DhuKfzZE2C0bQ4ByZqjklkwdNNuLCNTxA9yXZNms4rsOTDxhj1Y1TsveXDhBmanVd
ZPSHvIQy2R/L+Z2pI0TmxJ/VM4neXwbtgRvuO8ptISMcSg7iwjF216bDi5bGcnBePrV2Fi2Xn1Qs
jCpffgN7xHmy3Kr/j70zaW4bS7P2X+nodSMDuLiYOqI3AEmRokRJlC1L2iBky8Y8Xcz49d8DZmaX
7crK7PzWVYusqoiUKJLAxTuc85xpPd/1DG486oX61WqmfjepIrX9VB/Fth8SJiNr85rALS038SSb
B71UfDNVSilyeRbXJdGd66xnxuDKaH0tepnrmOxCGazy7nJnPi4RKwNg/O7N5TJkeUIhEZWNvp96
bb69wGrNdm4eLhMf0rGheY4OiQkGk5MG4/waOpDsIQMg4iAx46YPcUlexgNapPExyIbOloEjH/06
yFsSd95laPeDMY6/AQGZbxdutzKY5ohiZJyYhbkR0yu9BhXc1BKiOgUwoeYuJVkPB/W+6QeGcyX4
PQb8ePinhXekwyxjiLNwC1bABT6IEJ0xox0d0WGPEADbJuMMBnfjtiy4Y6KpsO5EZq/WBV1XDL6G
Fm3aygpfZNY8L/hpc9/qxuYLqCukuXo3fyzxWvmhUPlBWznKyPk41ujo2Yyuk5p1Re5Dz12p1EvC
byoEw54GfPrWJETg6jK/uTwkp4zZbVnFEmGj9lWHeEW57Gh8fXlBsdS0erb79dJEUrMDh5AfSIQP
zzqxDTd1JbJNY0n3BplD81wZlOmsv5mpkSNQ3oyFGd8Nkk6L7VLH4a6B/qtyr3qdYNQTsNF4N6PD
OVuNwDehCmFR0EuTL4SkcmPb0j5tW5vyHACDR2Rvcd+o9Rhuw6pFN58zkfQSh5o3U/w4D9H5mGAI
/BCvU2/qkvUpQIP2arhcEnLp2/cefu1bbMAWdxCgI/5dr59M0gBwEsFQ4u2E6/TrUt66HhPSKCuz
cwE/YrfKEje2g5bv8mwwOkbAqE/iO4cjn7nTioHQLPDhkYZn3hvhDjceZUgzg3RH/z6A22KJZWM3
OEja4SC2U+NDbZutnxB8f/AYEB/mXC9vFrMvbyxBEVus30FMefhCVoWqd2ohNLMYAbhBeR2e5pEy
uc6Yz+lVLj4g5eew5Rx7rlq3fsEftwYGcOxfRoKQtOTBFay8gIKPbCspP1tOE4CqGuLI1fiwA3tP
cdLR7BTc2FedaTIFrXJuilkfqtcLJL4bmRmbSUir0FE4mzbZD4Lh8paHPRfP5ZidHD4NJkfovCsZ
faKrn9EOimLtJ9qJKZQyUTEztPmIFZ/FG3CIGYHfwIepc7zFA/dRhiTtk24PNT2eybWm6eF5GpmX
iXwqkkOJf/56JB78zVmPSpPAXSiQZna3uCJbcVgrhAv5rtl4PB9iRibck4rpdNmx7wVYZHwwG6f/
usY1XHX86ShsM27chKAJslSq+nNbKEqOpl3yA1EXNDF1Et8hPH8dBotPDYOLeQBBwa0yZHwGXQ4c
rRzG5pmqhMiBfmLZ6+fk2lG39FZyYq/MITsiKnmqqpAKkvikzdDzhc9uttxmgpH65f9ebswZ4qvh
a2g+v1gjz1S8pvJQLt10PwkI5UUMZh4vCTd0QlUZORaHzGBxZcvaAdW9WMlyW9sLHdnozLupzb4R
SFTZKG1oYC+D4lVKKAWd6bhWATOZBxA0xNJfMUjgHY8YNtJx38PmQjcEQHndxHQMVLa9xboVCGfv
XndhV/3qWfv3qvKvVpXYdP8UtXUXJ9UPa8pff+B3O/ZKvGRTpQuemITrmDQBv6eyS5zaDl5HulCb
Y2TdYEJp6OL/+U+5wrlWrdO6j+S/1sCi3/eU7i/YhnXcpyYoA5CY7t/ZU/6c4SWxgq35nxC/1k74
n/LMwlGjkC4t6zAAGYLRlgLKj3NOo8tq35zRyTDxWnY17KadMXJIuHnHLKSFpW+VHGcSdtMn3aQi
jCY2O3/ecv7cHvPXCR7MTLGQU9rwKH5s1SHRq9AYPXlIB0mViLjvvlmh/mC+qUKaJKfcqtl5tMjr
5K8X/Jfpv6Ov1f2vLeR/4Oy5r5Kya//nP+lrf+p3XagPrsGmGIGTa0vzp9YyZAJTE0jfHMKIABhY
9kE/9ol3m3mqsjcQnJwbobulHZiz7Rwp1hKAtSp5nZZyeXf6tuHGXWbzGv5IuyXaPr/qctVnq0bY
fnBiF2PJhFYKjVEBA5sIDZAzNZI48mb8dCo8I5Bwk+9iMes1epzBCHTCI2Z/NBzCl3qqUN/tY63x
zc6e/CG1BZCakgkm2GnwTG51ZKC5bFWV9+e4bEv6SlkOvsYMmgdL43lx4IVxGnBUrdnEStvS4H/o
kUSjWwdZBLzDrssTZpWIqBFtRPtSmcMejSSQTW0x/XTp+tlfYN0QaUE9FUBNgdgEevC5TN3C8jXg
ijfwhMONrebuE2hQKmzmR8yAaDh5APAF2CTfZPNujHP7CjB+EmhSjGu9Jpqz12vpg94m8FnTqNFf
IAHbG3wbukIXSSTsSCOX7AaTlYyfcCudp9CNpnXOZeeUaXH3ARobYfGdM/YHLHnQsUpRdmew/Yyp
QWVgKKCj03eFkTEOKMMuw9/C6Ax9oowWk3G30nE9RDCGgKt4vZ+qRfK1pprcW4MQZP1ImEijZT07
GPuZANrlfVaqaddGjQCSbpHOI1UH0J0JjrHT01TtFNum+5mn9tUi3Oi9iQVcdz3ZeR2jYu5U78DO
uDgvtP0m1WOfXi8pvgk6NeeNML96v6AUA2lSd/s5UXiZOtEh7nSQPtso+yUeqQGTwJXbpcYxBKF9
TVxk+IQ0ugf+H4+gWXgufZWjPtwZlTGRz1Q6xVc8rlmFm6ZBsWsh6fY9I2oIKIK0RNfm4MnecO89
xhf+JGPQHgF4igVlfESGzTjBbxxU+AEr94YcVNKTaF3qLnsvSXhK6JBUui7mxvcsG3jgAhkqhpgo
kHrQb9sGddPbkLCQ3Xslteld27LzXfoFHDpMt+HZnpIIKrVFs7hoZtcHoddPirui0bovZXhpGik1
GaF1DNO3Xa8QNV72/IhIy5ntv9OxahqAgz/OBMbO+xkPZA+kn2gXYOaK3GNmRRHPXuwEYJW0kjkF
9AJq9WjM6EsaasoY6uWNisek3jS6Wb21lUNHjZSFS31a1+1Zm53Bra2HYcz7z5akvEPl75xEXzFe
J02MV1PrewMWZD2qcKHfaKyW2S+0NRqMxKZGUQmJ1tsJOB1lHqVfUo2UmgynXka8Qi0DjwGsFrIm
lkn0vJPmI1jsP+up6vXbNFGWfvLCESB6LerqTbWscze1xkL2cpRT4PA5wYESW6bAnKOZ1g2nKRHL
E/A6oEQQdMkzJxY6FGGOCwW/9fxmofTV62soHTr/hXvQk1xHsxGxU6/AiA3PZTTlCfQ9zSrf+rkr
uHTU0h4rBf0LTBB/MdgLoGBj3yXs4TVVXzWuyO/WbNLJt6uEFr0lBuoBaqm4kxfYGLo22HwXBBkx
beDIyOQdDtMFUqZfgGUsLNhujBeQmViZZsTpuqvhaEWdLaYV9ptyJaBpwwpD48MBjAb4DUha5dq0
Y/0FnhY3zvhSrUS1+AJXc1fOWoh3+BAJBhvZ2FafW6P7aFLqIhDzUuvKWGlt2N4Bt2nZCnFzL0C3
tatB9r9y3uRKfDN6PbuNzdUUpmkz4o2VDSeyfrJ9HKnWF2sobaCKphHTb2VbVAfaEuRsYG8k6PQj
wsT4pr9A6LrGpZdt3BqiLeiQo3nh1QmxOD4XEElkF6DdsrLt5AVzZ1yQd/YFf9dfUHjzBYtXXhB5
xgWXxzmOxj+y5G4KOfDbgur+8gz/d+H4F4WjKancvit3/knj9rF7i78vHH/7gd8KR+Cqv7BbR6um
Q6xaJVf/WzgaBiCfVQaFp5fZEjK4fxSO4hfdWKtCB9Hb7xWj84vOf0zd4uT5VQ/3N5RtF5rBdwN3
JPOYPKHJ6DAMhAc//MearGoq2J8zAiqvXLQFP9OIEnrHY8B7Kgqigoj3y5ZgiKL6yHq/fTdmWscp
saf7uYHhr5qxOnIsTRC8e29bJMZ0jomWugdAhUQLj+TETZ8BBtPXMU5R2DIczxrUvLIJ2LQi7fsY
h5NX1Pu+gO5oR1Qfsa/noQZLVA5wHlSqUKULAyvON7N25qTfI4fXp+EQORCmSS10Ji29hn7bDI/1
wIf8qJWVI7a1jAU+ihT215HPUpp3bhZOq+ODJ1VU67a/zq2pdeQyd2dVyIKKME8INyriq8YRi4mS
yIZ9XIj4Azsac8+bqjb50mufx7hICKySqmHJGqcPePtP3aSaAy1htIursH8Lk/prIwxcpXjtScPU
MQJ4iMJyB0fPgovkOqWnJi/JX7KRU2nkAd4ckZcRpBWsBLBTHGWDdiC2Y5w3WaZF86PGMnvRN3qU
pdEulDX6wSuRTBC/BlRkXbM39CjE4eoX2dBk09nO8WXc1gD2Sr6EAk5LMRz+fSD8n+he0IloIf41
tPmQ50lJTub3hwLQn/WHfu8mHZSt6C/BYnjA0+0VP/RbN+kZv1hrTr0JWMIT633+/aFg0UVx57Js
5Pet58XvZ4P9i2ezBiVoF9wyIlrxd7pJW64Ii+8OB0kPSSYAuCCPPY4JLujHwyGxE4nZpo2vp8Zw
En+sK8u3VnhdfeHYzSvSTvap91hnzPTJcbHwUuqDaxFI3nZVs1csxsPAXRF5y4WWl1/IeXhBqAsu
PD0DUYP2kK2YveZC3CMcDDvKDMOEUYtoh5t8hDfv56EFq6+/cPtw9No3cIOh+TGwWw7LhfFXpuD+
oCaZajtQd0ABXHkBbRvWgy9drfnspQAD3RUd2LnYGqOFPteP67xrg9ldpRdGNEqB2gAKcwu1/3ZE
zOcXQ39uV0ihc+EVkqcBuxBlTfJYr0DDKda7k0Lefi5SBBNbtJcaeVvuhPCIZIIIyEZan3Ok9iSb
jc2WDLkZRIDtXQua8KMRu5ymQpG6VyXVzmLHFAgAkHyYo8iMzWQRIcVKRHzKPXi9ianyR0MQE4yS
5DVi4AfGdfY25WKa9z1DycNAV7iJDXEf20u7ISIT+Muc2KhftfzexFMMMXg8W/rYBlaOgcSvJyf+
QvxZfSWdygwUIRpHYxWTcMY350GZDh97nES3ZBLJ0xiXJn9bv/Q3OqWuqKpTWKviWzrY3m7I5Lxr
rcQNImgBZyYhX6wwrDZGSAqYrcWoZ1v+wRj6kyc1w1dOUQZ1bl0PI7gCh4DOR85682xO3nTkqB/v
k1Yn/TGLP7Prit+syh43SzQdUQbNG2tFg9nEmfrKrsEzVlPxmKusCMosb0+4juKg4xOhtcjwe6fd
SZuyPsAl137M0Cj4shXTaSaidVNPFupWi79UI2ltow9h9GFxHYSlubt2FWlZefxamj3WFDWlWkxM
waz37zn/PmxFmT84iHzjDdxL/IGJVQP9kAOtf5iGqIeX5STpcoK0HrSrjLy3qwWv8VkXXNGO3Xc3
IpPySAvp18qUOxbu7W01mcvLwDIw2Wrd6pyE+L+pZZYzHzAHuWlYFl31acgWGUKrbXrtNXyS22Fo
GzKmbAivDe78wMUvswdjPWR+yzWI05f1WB9qHeKE7knDYh63y9kltHQXOkc5kOjRNuXzPPbpfWyq
Ow2bEQI8b+Pl8mywM9wyJUK7hikbvObTbKIvzEX7Wjgq35EmhJm1SMTRkpjl6SCO+fyO5bimp+hq
0jf1T7KH2D3MXrivx0FDQ+l5W8gO0Zrw8MJh2N6Juph2WquqIM8i6zA3rXyStgaSNHXaTREqVq+m
4LbSrp0QwxghWi9kAMK9dQp1lTuNIDXseukSKJ+Yq1hkgTNOTmWIsEna4NsV6thiSgueuHWyy0CI
YsBNW9jqZv5Qu1Z0GFI+5nnJzAOyCXCfE4TWssuIq4bogt1zsm+lGshPM8eDmkmm2OCPHx9G2T31
xqzttWa2TqM04pIbrGppzR9LZgy5t2kMJVIMSqNZ3CCKOhU4gKjBrK1tL96H1JyZGgmGPjFKp3uQ
wMkd+qK3UtIJQW0lwDQx3ux6sDo/Vnr32ireMvyXeqPqXByjvCx2bDK5pPUIvHEBOiWf4/x+5tj1
44nzLq8USXJsDl6X3oNWE3I+Dz3XYDJP86s305j7yNebRzqux1K3KY/csriroHWTce3lfX0fWaFx
MOsxbq9qMnnoG61VuLWk1aHOBjI3mdDlm6ouvTNAlG9A5caAvosg9NjNSYh0jYTuyUaJWdtlAZ+C
ZWI/4f7sLYgbdWJrLJnZCrmiK3ag9KH3+CVR4hNqpXwG/0OzX3bXRanHPc8WrfmCsLGaMQunBLeD
9Bb2XaZc0k5TcC77rHfT5WaSyn6YeGA/mirkFsFt53oHhVf1uTVQvcfM3wB70WJ+7rj6k8DoGREE
aJ4daMN27ZwbosDFJjR0dY220b1u5lDbdV5aRvuw6Q4zifF3cd7nj6S2mo6vBrLL4yzkwvWWMX6p
0QdsByGLPQEe8dvaKXg+AcspVva5kzeRqQxix1gs2P4y9qCXUcbdjuYwMFebFu2h5mj/VoI6Gn1K
+fG2G9r2fp5Eo28cMsHAIwOajnyCREnwkJCIP+nE+b01Sk9eeCZHAMuK/rY1l+IuHCzvm07ZSKR1
HppnDVD0Jy3Ll1OhOwcHjtlX9Df2u1V6VuInsdn0zL6GfBuRTo67fzgUnLZIHgwxb+acXB4f8FKi
/DSN3ad+mK2bHKn8u5bqKUbNXjALsOtkfECjbT/xHPG29bREux7BnIaL2KlJl8mMODqoZJq+ZAn7
IQ6jKHwipH64nxx0vH4xx9p9krIE84VZqBcCsLOTmdcRhoYQVXjANGY5eCiI3iUblHM9lo/Eu7p6
AGtwuM6MrNgYWczNijGxuWMwRupaO7YMG2GQhLBrAKbeklIzvljjPH4NkfO/YrIYiHAUHswiwE4I
DBrMzMpIh/vS4rxBJqMA8upzezeTthj6Jnmq+96Za7V3tLF+9SJkj8G8hD0IRJAXmzRJGfp6TpF+
agB7SN+tzO6cyrCHTTChAIezlB+458hnAxbDVHmWU+Pzl3tb01H6S+h1odyWiU5KhMEy9KpnG38O
mZxfNebsBGXfl7iq8UpfcTynLqjxAQ9MJpybeeyaa4NACsbdEvXu0GOrFVxwTl4vweQq1Km61QQE
HHdbKyY72jfa+sHo227TWpZ3k2sDmG4nrJDAO2l9aB0gQ0irS/WCB75z/CTqWyPoaTie8QPU5bYj
5w8QVtosX1fg822oj/WGXchnGcXeRycui7cqaqudGecDIIrUCQtmlFmlBXjUORGtadYPCQ6vWw+x
0etgqXwPPBIvpYisFbRgzuZnLCXxsQsN88nrWOT6LuFL0m/UgLmjEtWetSv/MyMuwt2neC7ONIIN
3gERG28DBougLq36FRpO92BBxSuZdwr9pWdhGm4jNPZcS3rb+y5hDu9eI5p0ZfVEK4M5DZ/JbS8/
zktntzuzjKdj3/YsqVNNY5un2iYoHDM7pFF2ry998tyUzimaBzwYaJ4HrOUjQ/+gnDvvQXaefuod
idDdKzCzW9CR7siR1HzXiJyrhm0r02w1yM+eswjbl1UNjwVkOYMwkgo039BMA6stamVCUqPo1HbQ
kEaxhAeRYtNepNVtFnSYu17X+xtDi7d2jxY5ZpKsgqS3na82E7V41QLGm8wmryCynPCzLatwN1Q6
7Hi+zaUNaiX7W3TmGeM0MyMCPrT02k9UxLATWVj6XuvegCxs/UetxTlHizneVkjFP+XhlH9ILD2G
ZGWBGjDC/kbVk0dgQWa7x0wVBB3o1IjFGF27Cxlr5I00DLoTj7FAKaLsuXUdQ/lxONLFx4nVhdsa
esW2CZflmGlGfT1idrvhHeY3AiL3l3BJul2RdB3tezPsIsKZDk0e4R/Olk/1TJ4ZWBFDvUVm49yj
2NW+GjTN/+6S/08MbOyZNrbDf90ln75+Vm9t9vZ9l/zbD/3WJXvWLyaMZWlJyJy6RYn2v10ysxym
ao6OOxPXMqrbfzTJELB1doAu7TCTnwso9bcmmS73bwzMwGj/2BTTd9OZG3Jd25o20/LVu/nl7ZyU
EWtH478gOWj66jC/MYuFSdIt9A8hsGWY+CSZCJPeLee6OCRDGH+Ne43eFY35+MFylU2+Whc+5oUb
AjPkz7/lQWLfCdXaN1NKZAo0Ew3zCAQfZs6m0nboivpn2RbFSblOk27YF/QsltzkJCbXDDJLRfjG
B8x5tRHT0c2WeepQjONj1JsdT/3iPstg+XUjh5hX2kzYEkwDT2oeR+w+yu2BuNrls47/5KnXY03w
4Ki8cx67xVmJ7slGNHHgOT9dwZGI7m2EdqsqSZ2nyCT/hCb8bgmRZGqj2V1ntcdTBGNJMNiEgxFa
uu4HyUb+0Cfp9OY4RbMnzIcYAbkwQGyaur23HTv+1OCHAsVSpTwaokHsvNgxHh2ric/WZKfbQacW
8DW9nG4U2v8bYgo+gtEjtM5ggKHwZJgi0M16+UCMVoaAefrM2FK1vkkizR73bHLTJHDJqCKt9hWG
wkhbwHdIDnNanFwOkp3Wxcs1I0BIDvFsEp02wNBJS1Q/LMW05J49TbrX8uhuJHtv56QTqvLYSoMW
YfVeZ0IHjrzsb1CMgaUzCpsFWTHOjxhr+102QVsBkybuXNwQ+1k05S0VzXgj23Leo0M131JpVtep
Z3SPNjsUAlUzLcNWyb7NV7FwD2xC+tuF/mvHIEbblGFePmidbj52s+xeTE/k32bR6h/E0EMXzKZy
zZfSTuBbdpGld898VhQSzVR6903rFs/sWYed4dblpuyEvh3LbLlCvKhtNVNN783Ytnc0bNVNOnVT
4CEvbdi1zFRaZEp6X1bJLYRQZXAkszgu82DK42wr7TJ+KFvyG33bA8s+hzA7C70adi42WJ9R79sg
BvdYrqonaVr1SSojCvqSXEMNSUwQtxEmYEPzpu2geelNvUi5z6Pa3etE6nyl0k7v9RrvWpJFy11G
TDUrSyvUvlBCUYKGUQtsqBmxEvtM1PtjmdgOY/84vmYCC/m2CFMSB3PrOTEK/RMbpenGJu8LYGDb
3yYODARsCs3wgP5teUGjKtgD5vV0RBUUfUCxZN25ZPwot46uhsEp7xOiec9iiNkoWWY3+0y4s4Jr
ktQpq2p6Oq5usjbEpMP/bMdSG/3EtcODmaY8kT3YBKBFMI+4DXAOP5wQffq2CosnjpH6fibne19G
jb6l5LK2CeylW3KRACr2yMIDB8PXVsVzc1dERXSnYimw5Njmaw4TC1SzpqZPbRgzXZ7cnsHxYM4U
q1gSPwptMvaWDZW4X4aS6g0YKz0gjtNhh31Uv0tD0zAC9n5ZcdIyN3oCVNbUTCqqEG100+BJLpN6
2SxF9Z4beMz93i6mW3NxkDAkmZVgd5kH7SmiQfFISLVYngE/mjZmYqRVQBx6I3akTS6FX7v19CBy
3fikgD0Si10LVTe7nN2gPt2Sq+ZODLPNiP5Q7ODhRGt5MM62G5Gi1bf6I25u1uQfI6eou3NnYllZ
Qf/c7dcgrVp2b52bFlO9kYPIxkeVTpH7Bel6CEwrJm1rtD4WQzo2zpY9nIbtlU44fZ8dpjzZlctX
pHhw8XD79/rsr9Zntr2unv51HfApaRFwt0n5fSGASGj9qd/H5fYvbM+Exf7Mwp3yPSPCE+AefsjJ
+EclwL7MJafURRIlheOsERa/VwKC+bu5opPB5OHa4LX+RmWwbsr+MSyXDKoIwTBJITb5bRzaP23S
hKHHGQIR+0iAOosx0BD3FiS3/TLPbNA61Vq/Xkv/UtL0Ry/oCHvNEmCzaBs/FSIZ7xpFQGEdTUu4
tIJojAn0JIOCqeU+YlDyF2R0qql/eoOOtPm8sN2QBP0T8Jpn/UKIkyOPThXbb6nHC3CUGR9ai/P8
u+/+D9RaLD5+fim+ar5ra1Vr6T/XWGgy4qjPDHmES2u9JU6q9la3YgRwRxunlWbz5GSpcVIhWbB/
/tJ/8C65kiyuBlcnyMj46Wscm2yYdWaEx1akyA/cmpKAs9DdFEMEfOHPX+wn09DlouEKJEGbjQFy
+ct69rticqrytnCmRB7HCr2c79TQs4li13OgqJ2T4pQ20zq+LqapZYqg4qF9JmOWUTPiDC3QBRSF
P/+L/vnt25zYYFgQM7Je+hknnhoxg4golEd3lLxdj7P0Sl+dPf+fr2WweTUNLmEunJ8uqIjYsJxl
sTyasNpOvdRWJwPYuD4V9cufv631Xvjx5rR1lm8SaaQOt/1CUf/uc046CLN21csjVfm3VvBc6vF8
/8W3+UefHYcQEEBejFPqpxsS06Qkbi+XR+Q21TF1wYf5LruJwFgyhDl//o5+4s+vl45Ni+AYgs09
H+HP2SVMq41h0QzzmIqE0ZYJkwr8qNbafq6gHrhQQt8koDmqQI/A5LgzD7hAzV8b2395CP3BFWzr
cI6Fvt6qktaNT/67TzYUBrwG5P3Hye3EtZmVhuY3Ibr8GkhqgPugKLZZJpTNQL2f8bCvN69Vt8kV
J4ja//mH8kffgKQ1k976TdMY/vjHZPjjpyKruXmHcDojoxj9seyro6yVt/37L7VmRCDD4NEifr6i
ptpVlXIa85iAJj17XsQtq+WrWMK1+Sb+/MV+POo5vqWEPeR4kifLBQv04/sCpVnltEvaNYj8dEF6
pOoXFnH1yzK60/1QzpwOf/6KP3tZeUmEzGuLyy6ZL/jnXKM6W+SqWPau9RAviwSqi+9KtWgKwLaf
E5Adxda0luk+dlPxAcsm6g+sY0dHY1a/cRO7QWTH4+9ygnQyq1suAJFQ6MbaYmwSo/qrD4l8kh/u
cktyYq1TAIvtuGmi1/np60czkWIgAhHe5jqLkHWJUK3rhMhos96v9GJmzQDDTrF0oNmcbbZ+lv2g
lJYz/k1z/sYQJ3cShMTIvy9m0b1PIuPSxaTCfSUA2McbXaUGnkEDtopvMBB/a2J3Oud2o/bY/7p3
hdTmQJBipjbtatEbBebpbnCqoxtJ85pAkVHz5yyd7yNw/wp8gPCeOuIY04D4gsbA3GOt2i0S+bCh
eLGdBTlpWSbJlIlpX+Vlw2u4fNIsU2eaaCypdMBSkMmY1MapJcQDDgZwv5c1/XO50sLFszFxmNWx
ZTagVqJJGV+Tp9u9Zyy6XpyaTvOaXPH5TEzDdK9hpWR5WWdR8mrMpGj4zmLaWeaPKH6fSFzl2usy
+411H1e7TIX1Nhte+94a9fqExrjxVmDH+VIvoQAr6jRnZRN6D7egYckbsRjl/B0sf/QsnjDGjEkE
jxw36crAYZmmBUxv+URJTnkCXo/bxjTbd9V27kar8CLDIuLzgbXgnFswqE9isHDjeyx4/ItuyaD1
f8+KCNOjbXZoAlomw4HLFvMJzBD/lhbObPbCkt9CHq2BtofPTfY6w9rLU67kSb2rW8SAPkgAhacW
EW7uz+wpoGGRAjH7RTkvznW8FiZaikktwul7o6diOmfVbE/bXNc08hHL3Dg1ScNVQ8K79ebYkPwh
m6Y1ml4QnWUw6BCnruv1vNQGp2mvWkmGyxUqRf4YrNJZsVUYW9/tKub+q/Rohse8uMYp1oqcr9Iq
OjcIKxdrDHAInjddFobwCEqTa5khtPfUguhYxcNgEMAeTve1sYpEO3rSaTfn68CjKxGsQTCJQEHB
eIe0kRTW21A11psd98Bh2lJ5K03UUI+RuYj9soyRsxGRLV/LYSCodUnm2xxL16ZpJxj59NiGuzMS
NmVJzrIoQljKb8E6i6BqqcgAAcT6Ic+XhBBFe9W4O6hKTkhn9CP4i6pGvuQBIrVaE/izJoO5XOYP
GZC4LfrvGr0q/iUqIztDGK+35UOH1aZkUNMXXytLdd9cTDgHtFH9ybOtHl/VlCL86jNOpmDJObhG
HfGF32lz/WznmWpRLcw2VHbHwK1Vws1qdRXtQLMB5/X6OtnQuJYEEPfVyUsHY8Tw18avEfwg36kg
khPXYF815RwegZQ7zZXbjvZLTUbSjlZ+eUXVVsEKLaLZn0a5vGKQJs/WEkvQGgNfoxtagBezsXxN
oUp0GJxAQcMrJfmBYhSn/dS0YqNUoW0bakB/oHjZFexH14MpZMeBa6vPYJKXWUPyqorb3Wz189cw
qsZtDIv+Yfaq4hkODnkNc8nIsEwAUTdsxMl+fnM6yf1BWs4mhN4R9IMydgVA9FS52kmicOH4N8MK
3q4izxV7Xm5WHVGvnmNaviJWLarWb74eb6h0XYCvxgxsMhlGX4YhL8TiG6h5H0FJqeo2QHDDaqSa
NbA7Vf+xzuymDoay3cEcmANCTr7kDvsjsoURvHgG4nstNDd9zt/hhV3xwFNpyfjil/jGlg1JGJHO
N+pEIr0BSFze6x1L6pzlhxlAMXe6tznsjJMmUm4J5EDWtK1qlCFHewopsIUJbyjgtO3eI0Veb1At
nvFh1hcuWb0bvCflsJzeuv1k6dssiQluQNmkDz6R1zmZG/i8X0JDgjAGIho4bEP3XevxPHZ7K0wQ
R8gK0XS+/jZjqluyPDqOIE5jCrNVN4mlnUO7TSnh7GExPgy15Nbv8Wnu5STTaW8ZWf1SQ9XkT3OG
ij1WXuYvAq4+9VxMUL1hsuPino/buni12MDW32bQmH47OCxHiJEDOp/K8SvQf6T8VqZZnzw7ZPkd
e+0eQh5mTzhACVE8kB8+t0MH3sEyt5ZMoigIZ46P5xzBivZICgkiSFfE7mlQKZLGPMm28Tg2e6jD
y24G0fJx8aLCYb0px4/s6ooz5IVvIl+eJyGNuwxrw55zFUMoG1XoUH0t3uGCR+9wWcbHqHf45rjj
AScMaNJ9GZETBO0sIeChyVvnGp9qS8rumNdsn23O8SDr22jck3ekH2VTzbdNSz65vUyJ5iumyoZv
8y2kAcWO96SVAwqtiVgGPPlKAoNZ8juGb/25SNwmUBjUv8hBy7cVOoDPlWcPx86uSTm3QoGEqnXN
JMhiFmQjq0GW903OceER6ZMWrryex+FzWGvj49hFGTtTxPsqiazXbLSzKFA5GQUStyFGJwbMJ0/O
ya2aLPNaw8UKfH2I2jeRjPWRfaHHepf5JfBEDZ1Sh0fyyuDI2/0/9s5sN24k29pPxB8MzrxN5sBM
KSWlNdm+IWTJ4jwHx6f/P7qr+5RSOhKqrw/Q3UADVabJJCN27L3WtxSKWTQ8oBwxukBDG7dRVuh3
VlpVfl/o8y3myeBSnTogs5FK1m0fDj+6jCb0Rm1bIz6MjNdB6ZQq5HkQt056ZY0MZHdu1MEBMQvl
MrHn8p75l4a9Ie0gvWuKraaIc53hamCHfxV93R67Cj3byEZ4USQtWrHKJcwQkQ/Hi4jFjShP5ABe
RWWhgHaw+1Oo9YO+KpKAESbgXcbFo9RXi9XiEvkby6iuTi5BChW6/rWW45nyMka3R2yk+CwntxbO
xslsgwVRDL9LKP3B1l2g3DDBjL1h1NrmD/ODlKX4W5uL+h4hTvvgZJOx6cGI0XUcsUbYlgGIIiKU
epwTe42IxUbpEczRC3ki7ENSxUEcMDCApcSjuulnzik0Ym0AE2UQX2MLHO/VZlCOZiwhKcZASrYO
TXOb2UJhbuvWNvHka7Hb7jre3dcgi8bHytHl82AG9stgSSveqvjQWq/FFpB5CbZ8tAWOXr7Ocq4B
PkTz1Pn4gl4hc4Y3bYK/G9lPKw/6MMI8L8uiBgAAm2Bl2E3jpezO10o2JBtNtQK4iCE1ezhP4whK
uwSxYHaGZLLaqdNKMez+O5aIsvNsvPPXqs2caBVURXZduNkSTqKNyilSdH61fylt8n/pbsZ/qXD+
HDH+rxf6RS90OcJ9OhM9loU8SwX+69/5j5uAuScWSqTBnHEXH+r/jESFBUkXh6pODwLwusb48t82
VCwISHkxr1qOyRx16Rj8uxNq/D+6liYb9p9zPAPyf9IJNRYb7N/aLYtyGZuDzn9w/HGSPG9rVXOZ
0hWYcJpXFcbHjAwOXD0ROAyzttLJt8tUL4BvhRis+YiqI4RSxcsQRr20gTOXZBLlGp55ooTJQJpr
1qGyta3nmXVpgwGfzBPYhNNlWTPYeYxno6Zkm9WXRA9HuFNdyihlMVAsMEyiqnYxzZ97m6JX22NO
6/vDqMfNcGwQoG0iybwM3zwA6XSyYK/RrUL9FRBcPCmXajdV8aohqckTSTFr63pqflJ/NRtNi2AM
9CgqvSlxxG88CR1LFTSsrevgNt2AEDdxZllRfET2POy7rLN9pQFI3pd5UuELK8ZTXys7DfPWutRc
QECjvqPQl7mXh0vE5DTNyeNotpWnd3q17qbxMnIRWvnJLBoh1tBn+eS7MiMKaIXyGV2gQCSBYYke
kDcrAblbK355njLqE3ETa7GJlHRub1rijawLvKfmM08EZEjrJkFzN7Pf7WVjtApt3iYcsTA1gHeN
ASzajslXBL1w1BBzJAbsu8y3Ke2FWmyt2clxtA5GRJ/JT7AklDVcx7TqO/ti7kZOEDPKFOa14wbG
XJdQxbphM2r9XuSpcPuLbHCT2CJUVFiug7LEUThuYZUneozxruCoN1FjgUscX9zCrpJXNxHt6xSo
2qBfaUVr5oyMyUbaWjK2qZIq1rbvrF4dQqDc7S/BAkI0LzqKQLthAORNWZfsY8Mt9E2TsWGLEnlv
jKQrII/hukXovVLjOOG1HFMCVzgOM6UU4uAkaQnLUCU+gBTFHRk21yKuxm/S6gwgQ0pGyILbMGCC
5Y+GxZG24Rk6T9vTEifw1QKn2ybDi73PR7XZElbVPpValT1rshb61k2hcawaovxW0sEvtwrBlLB1
4r09tLqkptbD7JAgDxOE63Q/o8TopTeXhnnDzBQgQ2lU4c+wMdQL9DgcE6indr1uFGCB1eaYWQTO
i1mMpwJo6Y4MBSe5JlAeoXvtDN0q1VS49FhF6Zyhvl87qVXse2bDV7EMEm3FQdi4tFBUHopgVlcz
6NJ12kVP/B2TrQN7YUv7+MqKWpLEOsO6VG27/R6NafCTwsndlsBYdlVCvklap8WhE3Z1n7TzFUhO
87S82deBaBE0Is3fQB4+sksj7Iw5Lzt6ZW6dmAEhT6BSX0uSAa9LOiXfwyqeL5raGC7LPs38dnEO
IHkPd0nSp7uAVhUW4qp90QZckJXVuLehQcVBbw8pQWo/zJoKKz+hOaEEJMLNvXlZxbXiJ0k7PJo1
3JRVko5M+GNd+wE3lp21m+YyXA2YWb9ZmtFtRNHqr4rtgHiQPI1tOidy38nsmfmW69G9gZ6mdFPt
rtLeMm6rZSsnrq8vnw1nCu/MxAjVVQlh5ZfMSyoOt235MyplnzmZ5pHSR0+1A5kyqFZ5SMcanlSS
oELrkxHRWej4IwNd/BnELjCMHZOtNOl5rWy8mReC4u4OjgptJJ7PXTvWJ17r8pujTRCHI4UTQeCC
5Y8qB0J/bR+cRoGkBEjPeRkZ6d+4mRP76HqLFztW3XWm0ttaVTmqHIJADGieqoBElnyTiJn3k96P
NDsm8xb7ZcU0fJg03+30wBvkfO+oiUAlb4b2ymaCfYUsjZW9U/WfZRYOqxy9DNW9IBViVC3zh0lQ
3FonpuIbkP+YIr4ZHtOoBXqoJ+URPz/is94enzFe9Ghrdfkawt1EFlPDHyW2lOQmTf+uFUheZxG7
1z3oMgbrZrkVWShvtKapcFSjzkZRRo3Y1k1K9gghoJuWI96TU3XN2hi7Enmmwol3GiLdi5JOWRlC
hq8oWFW/6Av7h65JDs8zr9ZmZsnxIjn1FNghBJiC8Ja9MyDis53eOmo1/RW+SH1rhEK7x7ZfMWkx
o0PpNtVNLRZzCodLnqwbTb/jqZG3Zh/WiVdrAa4UdUKYHok295ALWCuBVWA/N2T/eoZWo9mN9Y0Y
SxcjvlYeR5oJHp215nIuyuGUEVJDYpl7rHsNVS9GuggtgqXgZ1UFwX7IGn9mbQ95p82qo1050606
iHZEqh253wxApX7vyHFfjkFswFU1QLIAU7pmLJ8+5m5ZP6IUb24KAMDgcoL4ohtroLODM9+LxpjI
cShRpDb9tAmQxdD4KWgDoNRVS29EhCL31NlkZ2Dqu6cbTrUao49ZK7FZeMiwoCSpkYp6xYaVZztB
eSgGxZAoZYbpgu5RTtJlA53GKQ2d5yiH78Zo41bqacxMI950L0EheBCxsJ41/nxkx0ERk6gXDchd
VfeRcwZaIWNmo3cA/i+QsTbeWnFqXdpxVd3BngbRqpgNUq8wQLm7dobxsqvLZtuizin+1X//v+L4
i+KYBtEyB/zfhQLHp7j4/XeRwF//xl+lsYUFbpHl0TVf7HOmyxDuL0+dLVACUBJjtP23p/bflTFG
PCQFmmO7qsbYnLSI/1TGCAmZJEFIo85mvoUH7h9oBN7Op2B0oUbUKcHx+equJayzCeHk6gZCIWX2
ERZP7sacjuy+f3saH4zO319iGV9joiAYXBUIFd+OiogjX4LGYIQx60Py7MApLJhC8kj/88z/i6ss
f4u/Tf2awKWRsACDITW1ys9y/C2/ysD46kbOBvF2XBoAKLgE3QxbPU3xup5/fX4XglPR25OKgWxE
MOoiR4Q3g/Lz7HG1CC6x4TK7MZWieS5tC1sbtGdtYy9ZBWaQZt90NSeJJyPeQW9VuHytPm6sZBSs
K/2wi6umedCiWRcekVDJupH2CQdOb67hIAyXbsOBH5S3utbliOYOw81tjPMrWtl5l9xNqTOC+rCT
C4h0RDWX1c/cqdbgfNtNVoreJ3nEM9E+Y3pyhbVO2aePWVVxVqm7cmUBDCGcjkI2UjP7QnVm64eS
27AqInOKjmqtWGQBZZM3q1C6IsWko7WIqVa0X7I1evjussM1cY86OltHVaR5iV0/W1puk1uf6xts
k/26xZK8M7T20kg1eT8Wk3Eagk7sFPJPN6XeJERmofnLOmFs2xS9qz1W4uiQFrmh0BtXI/kY33Qm
+zsjdeSlPSfTpgQgNq16RCrHIND5HhLCCcOyi05B0g/PrsynUw+ijdzAYLRBkCdcL55/L4bs7xH7
csJoLJvvLazg+nqYxe+mWViCZmvIV6WmaY1dLJMPEGicaDta0jj1vcoftDxg0xDHEviIXJHxXXnW
ZFrrvAokphUyM9l3wnwTUJFWHn+/1HMhtXhdlihXSWj8lhyNVsMku5dkHu+NWfvt4pL5MWpm6EFT
jb9znEz2KnzNRbtZi10xGL+XdDWXvRACbVKr44pRIz+CCfsT1S1/Xj7y90hGOz3krtk+xAo+DvrJ
9kWOO+BY5UPArLURUOuH6DRkWrIPQfitqRma7QCUdgcPgp64aVmh59KyBSnBoJhZhxMeTGZoPsF8
XECbIcrUidxhqU1hayf9bVrO3a2sAv7hxmWzT53YPGXhVC4e/PSAQZmjtlJ2GzAZxrXj8jjhWkNQ
zZtKW9NNsK8kJ7dkn2hWvq0ypl14ZGIMnx2wp29GF4QEvcfqbVJwKl9VA3RajUbzLuIItRNGE/wK
UIhgrAGSdqUNLqNZSKZ2R41V4OAiNPZ6ImlkPYXgcCi5aLRWTX1ZKzZBeZwm9pZbWTcBPatdW0X6
jS3y8HIwzIcgr2mD2lGLcxCDmk/Au6Xt64ZJXteNiGxp5ge/JGn2K7caSol1p1N2JakMr0aSOq/4
FqXXKu1w0TDW+BW5qtjAJ4Ysu0iHNkorXbKF3eV5BGpqrcU8vmTkfiMK7sdsA3xGZZQrJj+njXOJ
H8O4I4dupvpxmB8zOhI7B3Ykc1Fj+O5oQf+zCMzopObAOIE+ZxYjk5GIODuGG4Qy2XkWKV3AOu/y
Kyxew1Oj68Wx6EL3ehSzfkeg3ITOtMVTgl3bvBi0cLpBAb30SBvnBmdH8TRF5nCiXoRvl0Tyamxr
61KMoProAZgXaUWin6iZRVWTtG4r/IfINSawNQOpr56palygFsvilWl4ZZpZteFnqkFK+9OyzDVU
43LbB4P6anCUh8OaldEtNpzkxZyt1setBDlLydsdr4a5HkGFbauJmYgshzBft1XcYngGkd+pRk1D
wJoTbNE18AXSw8JV2NMY4aOJrHXi2gHnJwLU+duGd5oo58MEaphKkMDYjJZ/7SVWoSYrM0/cPcQ2
c1smiUVkS+juzdYlb49cug02SWXXRGmccwM67wSJs0QmuqrcqFPT7JVGJc0sqoGYBlGgbOygC+j8
qJnr4TnjOYzlPEJjRIRRkJvya6ilZBnrU8DjBuHJnI49ySrwE0cbR5Letn0mT/1vWyXIj6AP8+JP
/t5QxhmHL4WktTYtxS+4LoDTM3LgXlu3yx6mFp+xK1TCE5e4Pq2wzFsMmSRUjvTJwBDaA4mKyXiN
mU1ueocZ9IZ3GM7bxNDcEEz9V38uyQQHshqJnr3XYXdDIZ9JQlqhez/ao2zX5KjxjxqNrmziGFLs
n2hIDdzuNxKGiVFjOPvQx3m+k25X7Eh3DDbxDCQ1gboIDJRIXMhFtFnK7glIttw7NgYChAsJqJ8g
BeAJdJTFs+mvXAKMmTtFaM4b4cZHROv9USiSqc8kytEvyYnWIE4Jfd9oOvJ/1QEGkrSCXDm7tGS3
5C3Pviwq/sLqCO7bpVS/FWOrfpdtP584PfDTVbkTe2blFDt7sJh7z1XHZfFjgMecYZiLpusZq9XK
Hb7TYVi4T3Lj6LNglEikZpfp0Ysr+KfTJfkwbyzzIhClS+Bd2661mgEcX7/i7KhGGzyxSvowuLG7
K4raunVrS2GK1hAsI0mpDP9kkS6bHa0cwEqLbGAguWaDjsuFYtvqmJqwReg4ip8Ew6UNI4X5YAVG
eph5oz10knJDFnnxO2EP36P3b+/a1EIAETpYMyIlvJZJ52I1xlpmGS2pik1V7JxGt75LClKJQEQL
4CkUIQStJUVQCxSCq2Q6n2ZF7X/3RaDc54sZc5bAxtaOYv31O6VyDF4nlb/sSCtrqxoIJsjWVO7C
IGWRgfh2SDKtg18+xj+KrnVOkE5wcdMRfdS7yXjsG8V4TMxqumKnsrZRHSnriSyGNTmV5NFCCTjO
odJ8wxZHYkJTENKR6uPVn6cuTXIZSlKXAPiqW7UoSja+NrkwGdjhco9KLI8zUxdexO1oluqFXUfF
pnBpweST1DcV3GKiR1XgBIHtTodOm7LrAE8drceICO8/7zKaivnkKgY6T04oF7MTj1cEAQUbIrFp
/RoSKB4Zgum1CuR0j9/W+u4GYKJkoBomUGc2QxWS8MMw11BGWxKeRA22htgWPffUiXxIcxZLxGX8
q0mn8YpFYdrDiS2ubQIh1oRidCGZlNX0AB/AhB0xM9FBMNdubUFCUOZOyapL7eQaroGy7XSCVA18
ARfJgARL2AMZtfjormu7ZevGVil3dl0qOnOu3E7X+NuYRTtAnJmGZf3ebYi8B7bdEqYuITp7BbC3
u46W87ZjwaEGIlz8QhiavK5DKLpNR4hECHj/OA047OrAGrY0ZRXGsmmh3LWqCtOaDjAVswFqN+tB
eKghc8uVNCvAXW1sQrzrFxYdE74dqZbZg0ps7yZHJHTQ3Vj8UkMD/nRet2vCUNRfk+tomJPiUmdq
RdJqBJF5EyO6PMzjMJ+a1GYaPNBWcOTU7J1Jo3WgT31Vr3LmtuNK9gtDkrbcfFKtkW9e0Rl1ewH/
585QiBXDsYyHq5PIrgL+0ZtEFwtsca4DvxWJsYtVfd7TsLV2AxLY5Y6u7WjUPII0I1JBYq31uji/
xQXZbCAtFHR+ImUnzVLiszAn7edUTA5BLUV9q2O+gEEXKxekr9+gQbJp0gJtGxLlt1NLeyuM4rve
EaueYWq+5DZIP1FJroBM3zZbx2kG2lmhtkNN0ZMWG8gLIzCbjg6zinOhw+BSzSatR/Rg5AdBfGut
/NkulGfyY6+REulbbSQAh7qt3hPnhM54ju+GMpo9FB6hz2q140H0Hn67Yh0GeUMX2vlOGkXjyURH
+EE0U0C/AwNQqhNerToSrYlZGagLKu4XXxWxG53GdBVPEWG6wbEqotBLkUxvLDRA8QrUZLeb5wTV
TNebfjoKMnimbuw39OTK2wr81gy8XK1hp2vRRZRY1U1RpNV3BTj0il09/9EqFcHuvW0t7TpjXGcO
OH/M5vOBeWu6M7Ko85UoBT5ThrVxYzjNfAOPv7klNird9OQxQ+gcG3QWs2VtRrsJvIAYhV3mzskW
XBJHcnTXhzARE2HNEmBMM+e0TxUSOtLMdJv1UIb6QNx4N6bpRVv8orwXP+iROkfhdlL1Gs0smegk
dPu0shtugnkq93IisThR0ORIh6a4lueYZVNXIei7afgV12Ng/sIrVy/9tHmiGS+TU2HKctvR//th
NdRXTEUi7WpyXPkD3Z59gKZdPBK4owaruuj0B3XZIS2RV8x8nYiknaK7iJiSHaO8lY+F1E3g2/Vw
yMywvxiUKX0m8AtwcoQKk/6rDG56u8pf8tZWF++e8YQgpdT4RCr7IFLNuGwkpA0LHjqSuL4wOOu2
tL0nUtXudWiTmzRAprKK+z66KpXpd9rbznettInMc2dwMEt8nNlmiZf0eISo8WZiuSPavasOhMra
mhpWsiRLfBApIGksW+XnZbc9TJwq8Err5DUJcnpabEdtnN8pWfx9LOgihqzyKxo3pLq4RJ+lonpk
EKHjXiYjeKUadt2tTSrjHWqO/K5M8/JSzpm2b5qAUmoT5lMQ6uA/KqeDk9ISJuhzXLKU35MEdbEa
GnMvOst5kEq9sII6Z8cpZkAUEeMe1BV5yaYIXqNpkqcRHc59UgOTr7pqtHeVgmJuFQc1Q6K+NANz
RXafxmFKFicmqkPh/cm7RV6qETrVDMmh17rfISJLWAtk8o6uU1zoVLbPRaVaEJGgn9CtvZrLnmwq
0I4AaFMklSSMl5fk7DGmcOtKXqHpD68SiqEVM7qk3QDSr49NaAE7IDLiG9//iwSdsUIW0BOOaNPM
1wM5H9yy7W5SlSaDEWbRAyJKnY3LFgw38uDUolj6pSsANZmK/DSm8XbutNbYYt8kY4j43h0Wf1b2
StHhjiwUDNcmZTKK6gbaEC4HL8Agj55Q3c59DwWEN95X6NbuosiCvJtaBPamTWfvo9zlbJpo4S/s
rBj4WQnp9yvhFhasfcdRh/0Eg/zPILfVdRW6j8ikhgsVn8aOP4UB7VjLWyM2XuzMaa77Uk6/wjno
oRMNTsxzm5KjC5Fj1zeII8gocXZ1mIDPUFweih7Yj3YfGXdxT2M36fCyaY2L4qegppoiIEcmxAWM
ZtoNZ5CHRd52PVazdYBRCz5kkNamyorgqXSRxmbN4MCC0RNUNgGsAlPhFKM1VLdjC2Uh7IfiG0JC
qBeaciLAS+6lM+WngGn1jQ3yYm0BAb5iJqC/irAokCwPpLrA0zwERdRdg02OLjMzNW+NKnGLcKFM
KN2PpFCWEWa7y1luN33F3HiWo3oiVdHys6HqvFKm5W7q9exWsuKumM6SjuP26q7JuruwQ1E42qp1
0ENiHOXQ/IwYuPpJGLFjUQjC87AVP9eZqVLK2YcBXeMVfNyU+rcsXjHQkbUCVfqXXidwTlGe1hwB
6ij9VcLLVS9E1QXMPPBi0i1BTxu22l2HKXHyFGwy7lWcgdPyULkwPdCbkqlfXYwzR7Ooca+Kqcnu
ihwPKIM4dxfFbbiuaGHdWVr7exwlY/+ZUqWp9eagzsOzbXJqMDMN7ZxpckiqewjHgij2HGUh6UvC
VzQtwbnsgPzNrYc8pDY2gjJEUtZla9odz60Wd+sSu7CnotnWcE774D4RTbJyA5YxG/VEDUXCqE2b
SOkc8Wy42XBhlGjorFqnkQJB+Bosn98TsvcaWbp5Y6qKdmpH97UeDYySfHr3Gk7maG0yeCJrvRmX
2CNhr+DWljvVHbuNFtfF2pJLXh8Y7C+sXe+7oLBNbHTz2EqEA/HjbTvXGjOt6BWn8QeD/h3m29CL
q5J3st5xHs+/cHe96+w6y9VcoWM0oiV17u6yR3OkTrIbfyqhpKkt/xPjgtpg9c3Wn3d4P7qU0EDX
OaaG5uXcnaK2VkX7UXBjkRPeYQ9gy0DAe0TZmX5hyFlgeP9jMaK3z13hYtJge+KPA+f39hmK1GQ6
R/CHT1Jsd5lmMvWtJqHk5OVd1QSQ7Mqel+uf358mdIQ2eJs0LEFvLwpvT2hKGeMqh5W1Iq+CXbqh
ZceZ9CuCOhKld/fHB80IwzZUgp/OjD4pi/9cVUrjA+LRCZoJFBzxtZPskQyMK1hy9U01CTqI2Rwd
O8TeXzzfpRN//nw1XWd+g3KJGc1Zp34KjSpS07D1nVyhAV9wg6Ri3H/+PJebOL+ITkSAA/SQWZGN
eurvc41RsF1IV0PDixiDngFwaCaSenCVaeqMlVODzA7BbFMC3tp+fumP3h/AN6amwu9eAgTeXto1
jVGEUB+WJsm0qXQTvkGyNIJtRV2obyEVGC6uYPP5ZZc35N0dG2jCluEUjh5GX3+/Y70lzM+GK+jD
l8gOIu/vLZeWX2jx1rpQ0P+LF1ZnjcHTiS5M6GcPOGxqVRCcw+Vaad7B0tlx+B+ht9jqF6vMmUHu
Xx8k9ErN4ATOQnNuBnPn+a/fkhy+4bn9825OQfcySt5NBfnlkZayurOcWX0ii5NmEhPl/+Kl1V0o
JAQO4EF+99HYusQsoTa+bofGycS+QH4bS+znv+FHqxw/4TK+wlyEMPDtb2hASOuMnKXnzyrQQwX0
wC6NK4QU1Re/30dfofHHK63TlSfW4u2lENYVIGxJuUP2TcjuUP60nPLn57fz1TXObgemj0a6KO+I
0OQRVcXOcPLT55f48OXg/RP8OLwe75yCML8RZWiy8Stq12PYqdpBKyHLz9iov0cKK0xd9Op1SJTp
GmuMusdv+dWK9v7TI6HZZIQCftl97xc1zKrTldLFrC3AU8hSWt4g0hrKVlLvgakU689v+v1z5Xpo
T4nhMBGUnn97NccqEjr12s+LkQLFmoitEPYXpcT7dxEzqINJn9bugrY9+8DdUMi5AVNJRnXYeUR5
xF5Z9ZcgU+IvXsUPrsRNLDmRILV1zH9vX0WXIAm89U7ps7QVFC3tBfizu6pJHj5/bB/8TAIhLXJa
XOHLsPjtdawqT3W3sUvCzFSkgk+Kg2w7JSO8Dg6fX0l7v8cSEfO3S53tsfSo4HLAtfU7AsfWRmHg
UBvQrZJr13eYIor5fjKpx1DyBmR6G3T31aYOfuCFVDb44kh+Zvq7wzwGKbPRaYDnxpweTCepDlIf
FWKko/kYZJwDjbrQSThmWsS5CkGiJhN5sPtsvBrKjg72BAzfo82GbteK5y9uFD3x+a7DDs5cD0Ey
Uanm+WaH90vRXZy5Pj4q+ejCcrwSvfNtsqz4KSdh4dAtkcJNFvxoxjTc2inRVmA395aVk5TJZFbU
Vepp3X0ecDCShJUUZQ6mzTnOuHJWeZnWRJthOahjWIxBk0AMxYRF5kmv2QclUTpvNErDZ7ZNqJR0
NI/rJGtaePZlaqBlSFKoJUi/IgT1mMZs8CUG+6rL09IUzo1zq/6yUfh+sWl98K5pmOFRcLBnUfKf
vWtB3tdUHxPPJVHay164+p5fffTDpCHCYAz0wf/8lXtf8OiYyA0DuhayF2jUb1/uuiSHaiBw1Hcd
aezpt+abOmzkpaVXckf8iryMaL3eGbEbfuFp/uDzpZpbKA/w7d+fORooeErUWYVPm2v63luD+Fkz
77mD5ZX8/sc3icCD1YheB/89Lx2Zi3LenLrCz/uGqUgvGOIxCWrXSlI0e6tNQRa3DNgJ48Ga+s+X
Keoq7Miwy3jI2lldZ6eQLPKyKHwS9eJdPRR3IVkgCDgB8nx+m++fqLEsUgJCB8crnMtvf0t6QG1Y
iiTzNcd5nKbFSeMghG8yXf/HrynlBoIphFGcPkgveHulqi3LLuy7DF0BUbKzReNVT66HwbS2NJ5e
/vltkSxHfQPxHDnH2SuKS7oqDCJlfWQ1uq9UU1EyQ2Sm02YLffDzi73/AA0V1wIbF9ZvLnl2sRpt
SGR1OXemGHeRrjzWs/OSjPpdOFhf1CDLt/y28uZSHEstbo01/5wggK8nngoFIQa5wRudXqlbmtnK
zvp5NRf9gTblV9Xox1d0KUUBm/DRnW8vwGXh5XLFWgBEdaunEvezjugVwjcRS1Gn/SOayFKCGyqF
t/6n6uCKZ2+k2XLukIGd+oCVDijqfcNIr2NL/eIy7wub5TIcDTHkUn2cNxR6Rx3jmD/a7xVNuVPs
wthXIzvi56/G+6WSq4glvwP2DSaEs5d+VLQRBrhI/Uano0Wnx8uS7tUurBOR3wzUndnTp6+gBtr7
nZKrsnCANTBBHp1/ajDUpMuxL/Vdc6ILnrm04QroDMfRZUo/Fwyx28mFHa6UxEN79uxWjL1UeydH
HKIZc+Qt+bd382TWBHCl6TqsKoqDpSyoS828QBZn3bvaYPmhbM0v1vgPfxjHXQ4/Ar7b+Q+DJCHK
mGyAbAUcv0kmNzkoI33Oz3+Yj9Y98I9LSwlD1LuSMzdqtpGwzHySwTDJl72vpuLOseVXVcsHH6yJ
YxxVpWXB6zl7AUx8z0VVFyxEY6UjZAmi/Wip4/bzu/loBcKARRvO4VDOs3u7tuKo0MawU1LEQy1R
QiTPIYrp5KZts18QZv55Fc2ZEZkoWwZhEtjt317OIaOK8C4+0SkNXpZn18TWKW+Cx8/v6qOPx+Fr
xxJO/+YdmoNozILoAz6eLDadm5Qck5UIzBeGLeW2CU3nGU9vsqdb2H6xVX205qGINair3Q8OPbRO
1UgnGN4PiaGShfI0E51SJQ9VMt+yXH9xtY9eeI49hG9AoXHeNcky7tG2qjb1SWlPd7ll2if4H1+F
zf+BUJ1vHTxEG/cTNjvkS29/NLfTxs6k5e473aA+xEjrtwqK41WQ6H3GbM4e7hPhlAQoy/66nor0
yiQYYwfVU9/MU2UxWIa1Keqg22SDgx6jI0v4i51UfPjkSaJcvkz4MeeFTxO0qjnkObvNaDAmkPWT
kG7poSprITo7jx0GBc8Gz3iJiTl+SIe+3Qdu+TNC0YEPTR6qITf2dJHclTUpFawD7uPzt/KDb42Z
NiUoXDh3qQ/fPscMaz9eNcptuBQv1Swk3lzElEGGfmV6+vxaHzyOxZC51BU0aqm6315Lw6+kGnBb
/DkQLyoNh3Vuqk/4zAofakGyoVUuv6gwPvjocN9hE+dqkPPOt9++yeDChyW3l5jfyfBQPJwfGXOM
Zl7p2lTf181Qr1Fj9P4/v1ch6GLSkaJAPF8pjcWJ1jht6XNWu6qtoaErnRH9aIWrKA0fiFsJv3jb
PvolebS0ATSAkixlZ0/XYtrYQgDwFTWsvUn0qBIKXZ4GAFQ+qVNfXe+DPYcbpIbS2dgoFs++QGIo
DJJkebRjHzK5MGD1qHVZr8G82F/c2oeXclUXmDEFIyiot7dW2UYsc4ISfOGWxQ3pefOqsaV1EXdC
fLF8ffSO6gtaDB/C0uk/e0d7JHEFZlrOKnl310Xlb9Os77KW3y8O65PTFfIfH45YwDBdQHXUGJ+c
f4BiZNamtXPhz9qMxs8evuGPXUNmsr640AcLMy111dR1Os/YOJaH/DfDQjUPKMACjoBZaBLnOO6c
ub77/KVfXNfnBf2ba5y9E66SpImBFchH0C9WsMerQ2u25jetw5wXZMSgxtDkV+bQVOvWSsL7cgAc
oJvMajsHf94gOtSQRcykF4wVLF4hwMNPmR/rsjkAw41OGnkC0OL74EdQqcUubxFncbqdPGSwwT4y
HYYUKuACkxhLCC+M77/Nbo7YqgCBhfuyJS6kB8/GAWoMr5NMpTosY2A6KdbLiCignWjaaZ+ZSDR7
PcqPvdL0vpO6d3GZth5PON3m9IoAsCMU9BEn5qtymCsyXCITsXCKCdMAkzHESbf9/PF+9G6yi9uC
92Sxlp+9m1bd1nKyeDeRCT/Vo3xyoura0JWtnpcbXHx/RWT/r2S7jz47am6KPdr3DITOrmdGU1Hr
4VT45JAuPacrApn2gyy+KF7ft/zAdzI1pPFHj8Byzy5jjGkEc9ktfETkp6qKl4BS57lO7xlCHxGk
eJ2pYectvjgy6R9fly4tT5TD9fm5wq3yGriDSU+knGYcuiouocZQThhdSPlBM8MZpzbzYCPTvl5n
BSJBQotYyGs82yYqfzMZlL2udqS1SKPwAoShvHDVjnknE2w3+UXuBAf1ESlgas/h2pXi/7N3Jl1x
K1ub/it31VxnSQopJA1qUNmR9Nhg3Ey0bMDqeynU/Pp6AjjnMwkX6tb4TuyFnaSkUMSOHXu/jaT2
4i2byAqvsTzq1v7ioo7epw7KG0sdbVPuB4v3+gHOh3WV+tju1NPY7GB08e/F4iIR3adbz/Ds20a4
H72Kt964FMyxgDYcL0QP2R8xIjEhkZeZKvcmmkG0e1fzaB5lVq9W78/kt2LRH9c5TIxUrYq8CsZy
77u5ieCRHNZFHG/fv8hbG6IUHqdVm34bPOOXD2M2uDI2uHPsaTohHYr9LYfxr1UWg6nv5g9IZ29e
jHolZ5YAdtvhIUK2BKMSZSnwd7LgJLocKafegQAFS91/pHz5ViBAwUKbpUPZe5X85vMsMH/qy32b
tp/szpMouMxfUTx46BMwC7H8YCRfuapTxeD0wJFfl0np8B8M5dLVOeNLnpaicw7Ly0YEYGnHY5ta
/KYSRrx36qZfT3UgPidmGO/nCFJDhFP5uR9hzh1UzvzFgxIEPSOM0Pp+/02/NW15z4IyEvXb4DAw
4uLeGbjDFPuxqR9EEN3GtrrOBTiS/4/reBDWySjRzTpMDjplzHENHm/PSbSmmoOGyWyMm2poP9hI
30pbKU4B2jD1H97BOhRjAIMD7CVCWntUrYC4juWntnJPkNm4zKvmpsiDDwoVb03gPy55mLCmi4NE
h2sWe2OcjqKheoD+DrhdnrSV+uDMId6av5xIaZKRPnIWPigj9KPv1MvkFYQZe/7Rx/XvMQnkWiGa
t6Z8i8xEbSRrxCHKbdJoroFhaWRmC+gvUN1XNMHir2GjbYZsGAuw2uAZxT3afEtQbfwyz9cFegO7
yRv9W98laq6gWmud927aIFBPabOyf5ujDZ2lQhSwNn+k1XABFKfe9qR8ia9g4s8i2Q7FbCMpZbls
9mjhvz+b3hqFQDN1KXEwbw+783iDdygX1WR+KI4gfWQhvuR8detHOWucs+fxgwu+9Yo1MwugjEex
9XDY69SK5oZkaJ8gIgIubmjr3cLpdyOiMA/xqgaT/v4jPmInDo7pIGaw1cUGjTLa4R4bGZi9Sj8v
9hKrkHU8DvLaiS21LtFHOI2rPL+t7cLfpA7IyUe6gB/jt1cMS7/tgfQdGeMIcv39m3pj3Ek2NAU6
gBj46sgbyNkvelvk+yyInG3czvK8jEkb57TqviL2suzBRf56/5rWG0VMUAlUfXTU9l6dfaPJXepQ
saK7JQTKqjVyAKSKXRe23VHgSbFipoCcdPMtqjBos9CTgXnhWJv3b0S8ESs1Lxw4BmrQNNrsg10R
aIQs+qSAt5wKWiOa15CIfPkEtrp0TxkZ7xi9FfcUilW3inKKyBZKmwXuRrG6GjFQ2M1oznyLHRJv
VB/Mb6TF5VE8MqVgTGU7QH3uEZD8hxkwNiFbbR2Zxui9GM6mNcp+H0vcBrBe8zZ+dGpXmbhGCmm6
ZNlCQsNGavka+0Nwkpved7SHsg8O5m89Px0wOOie7tAfFo4ot6UoIwqeP8+m6xhY2n6SU/I1wQ1q
9/5Yv3UpgNdgDWCjs20c7Jo0nZqm0NtSUIl4Uze+ZvNNdXYSxHn09f1rPb63w5Wmq7+C0yvb4OHx
vzRkPoxFwuFAuSHmKzSMIXstjnUU1pXalF5unVrIZF71qBdd2LYRfbJ7A0U+RJSP6tL8r9/Tv/7f
/J6AIrKm/pESeGWTfvEw/uv8YUruqj81HJAE1b/2j7yZdm9yyMEpHZJqmITyZw2HJx91tM1YupR5
qIn9I28mtDE6HWWIQZwS8Xlgwj3LmwnrL1peJMHk9J7uI/r/kYiDnrl/TDb8D7i869OipxEALu9g
A2/A1QPqKtOz1qZ3/RMcgcapozTqbM04MEr0V0bw/DPn9qorjOPKjmu3hUfulftqxJ1NGt1834po
wPjGrF2o6rNaTifMeh+aNvew3vVkuzT0MyIJlwdI5Tjjao6Ljg9LDPUxGzmjHPJwvjLnyPfcbaap
NcGlmRjID6BTqyx4bzi41fO1KFuIzHJUvfk9Fxicg4B2DGxt27hC7/Qk8bW3qu/BWVGAqqGRR4ub
AS2XCtsX/zrGkrwa4XMRVbDJLRzwPasU3iXsQ5Jza+unrCLza9KgNj0clbXygVt3JpiO08RKsmG7
mM1dbMBk8pp6vnLtvPTWyzym/CqF3eUH689Lzh9n1X/1Uz7ST8Emgt333y/A059l97P7c/FZT7/y
vPgC5y9gTlrxhAmuWyZk3/8sPhsxFFrVnHZ8LNl0AexvBRXWwN+LDQUW4j7tMbb8x87Lf7LYLIcV
/XK1PTYQWLrEA3oeh0lUE/Z+nkaTPEUR0LfWdEUsGEPoSo3I5HZGDQvIw+MQIdysEFV4AYrPctct
EHtsi5ee8/41ZwbTKE66TlJq2RrL1Drh3kfDQq4HoVi8XpMv9UUWc7L1dkWLce540Zta7RdhQG9E
wK3DsDba9XCK5Zlymu4ui8ZPvZPAQweB7a2RBfd2OchwHLAbOAn2gumSv0AkXnr0y9ZNYJX4GtqB
nS5H0DE786yEAwfQCKlpxKHaDhB33vhDc5Ui23cNqiv43uWLiNdt1wzWuoVGX5/Kso3DLZbf3wxk
/SouMctlO9H/TY5qD443JEjIs6JK/MusKeX3xvPGjRFU449EOenVgpbFrhpmF7WkuO1XqbKnHnJe
bLBpVkZ9lC1FfpwitvxDwlH5ZnfCrlZWlQR3SB3c5ZOW6Ub7d6WyYj7mj/BcDVJcJm5i7oGLWlsI
g8F6QjOFz4ig+TSkJRJL5jybm36MFB7MtRdQNByqdpU7oQRzY7lqXxpLcTVYQ3c7xQX2WDjUQRf0
5k9BZ89o5KZNi6gb8qS4TRrJPs7T5J754H5KMwQet6qyjUu4w7ipu7Ldd9VknY1hX97Ei4ctjj9U
V9WCR6yaIrpLtGHsc8dV9lcDAxaNI7fFZeVEwyao8wrHTuytVWItp3nv4tWZDFrizS7hN8fKXo1G
iOraCJE75yxGQytslh8G+R7ydLlxhALGcuzE9nJnFmSTcWfV1wv0kYvBaKqzyiDqHzmLMV9OA1QV
y9pNygHwCsfv+W+Mph18BQ3XriHrJCZeoM2qUYFTticpEJ+xPOGAN+bVBn3nJg12dmt89g3LH82V
GqnWL2xD+BTf/Teiln3Szx9FVFNv8P8+oP6fHFEGeoFP+dHxPSaQj7/xdzJjB39RlsEGU2NTCCBU
O57iqeXhP6URWxqOG3BKJNI+h1Okqkhk+TiNLJfDmk5znsOry3+5eD75QnMhiLH/kWnVgVKrvh32
C7rIGs4ArvvwQOB7ai4K9DYeYnNBVDMvllCYm5HqQNNvUAGw59s0j3BQ7WbgpOuum133bgqBZJ1Z
FS539q42nCJEjsg3KhwWg5AC2MrPs3j60prIvs7r1qlh3MKEnCJlrJVQDfITIkdDUWxoE3T2Jflc
jQpyZCKf/SXutcYG0JpIa1fgP2Fjez6AzT0SXZQ0LqTwFDLuOh8nww93pUoRDkGpJw4Rm/7jRV49
pXT/gi11RSmu1+6dOpP7n0wPq1G6bnh5kVFSqHgNrK86CSEEEvVD3Y2Yn6+KyIs1LtVB8uA8iNyA
S05WUha/G9km8w3dyYBbs+Oh5XlKa4ymL+/f0mOZ4sUtISHG0Q14qItCJUntyxOsh8dEUXVtdG/l
potaLSrt6EM4A2L+SMfKZMxQpk9iK11lKDoi6Jly5vJWqVlX2c9q6uaG/XJAY50jpurMeLuE0TJs
lnziVWx7jEiW27iVKENs5ZI18mJZMouPFYHDhrCipjt4wer9h3qZUDuoeeo5GFDvcy1dDTo4lcNW
RK8dWfsHE26yvHbLxKg+F3lYLVfvX0hXDv8YPC5E6UNXnGjqMHiHZb4ZOFSA9Wh4T/+TvjUVhxBD
9ZVtssIn4aXO5djB24tXs3Rzo1/XGC+rzxkahOnv9+/k5elYP7KWRgbWCP7fw2Ln4HRs0VmC1pfK
e9X5rbxw6zkF5o3Dg/DESdTJxZUfDPLLPEpfkWDigBhmEoIFOSzf2kmZZ3Xi2vfQjLrEeUAFw4vj
47AemAsRbh88dj7LYfjIKemgfq6vTMcOgz24TQw9AtQvp2xagfsZlV3cd7njFt4+wXvlC01EFvO6
96Iwqi+nYAnN4qxCpEiaW1Qbs+U27by6RvooJ3KEK5zki+ATGj6c/NaxKu0c0nPU+vN+GB2n+MhJ
6tWUxF1IsxgE3THQK4dnPMOKDA9pdnGXD01bzcg+1waUQeUv4YeVydfXYuJTG5OaOMFOcYBdEG3e
tUGadXeTGYAiXKUwl9XnEJI5U+L9afdqEsAcRxORUrejgSGH4d5C18GebLO8w3G8ZXBbI8jS38qa
DfdbVRWyEhsw6FUffnDdR9nBFysP8CIYIImpnoaEHIatEOmAqW5d49fiGhbGJ+AdE9TdPCSlW3Nt
iRzX4z3LJPMQqcqjCUeRtm2Deg3Zz1Y3SbGMOM3jtLT0v6LSIusR2Bkj/VnMDuK6H4ySf7g8uUGt
+ciLp5zgY2L6csq60Vi3xdBWv2I/oaC4ShFWWq46ObW8n2XGh0cdBV3dyQtDhAnzoysdh82glCS6
8TbInGi+410W6W+JOgrfkKDjg+aKspwq/f0UgB3kFdRndxoi+a2LAsxNoM57GS8dpSsI96uy7SXb
cIlCEG+EvFiHaMoAMRe05yn3P4Vx3U/fAXeSQqyaadFCw3aaUnqDCJ3IJt3ZTuMyYxuYjNNVLZ20
eJDjgA7qSvRht1wxoQP3G6ADVly74B2FoYimk4PPKwfrG1I2NeImAxTh5ZbTlKduVNtI9bmjGcZn
4zJlTawg8Ve8MzumXYsEC9BmrFxSBJEIKiFAIB5Gs7/jaDfHpSxd/HBTm09KC2crBJmk1xXyyFVT
3H/qR69gM5ubiS7fumudNJq3aRRwaQjjAR9fxKivZkRA2S5EkCXN9wbdOrUPHdWgtu6U/nyktWvL
07gx5uFkmIaJuTT5oV7LCbn9fOqrDvXrlRn2es9sfLxvYIOhx9LBPneA2KJC8PQAboo79Lgqwd3L
dGOaocGAumbJ9OuAahIwc7QIDJgT+BrxF1bCc4EMXJ1hD/X8HU3d4PUlktBN4jVTrhpht8f0v8Fe
i2Tm0hPkk/RkFhXPRHFJj6qDJxAj5yJEzAfGsY+zE3TGBoQOkfLRVxSGlkKf61AyLPWM5s+8IXTp
6VIFPbuWyCr0mLYpAs3F51LTrr1dSu+b6VIjlsaaUmWAXc0mslFBn9diMvlCcNZIgu/6qMdl9MRw
pmS+a4pJMYbVhK0UQovEe9r4fk4BL90s3uDnIyrQpcqSdbSUOndLrYlG7WaWZIs8RIpO33TeiFCV
0bYyWv3ePVsRBbbtIhQPU+EZwJ0Ar3b4KfIx11AnQaeooG8qpKZZCkMKSirlzfce0bi1q55bmnl6
/nEcUn0vTgDeU67BPbAEZ7/JmCkCxRdnrygQcntop+Nmt55CnKqTi44+AY7Qg8MP6wAGGbeVOoEe
40YVjOAwjQikrBbf03MuJwV09mkPcAlvbVM3otc6tVY3iIzxJ0YlOQvYS3tiA6njQpbhjAnrfG7n
RQePOCMRSxvR6iXtBPpL0aayeBNuR96IvRCiZ+rGSzKbUcDCo+7mPTYDXQoah5YIX9i0HZZ164Vc
TM9qkSSI8tRZsFjovPi5O7Wb1LwJYjcJ1EYz2nRkAomNtp00jZ1L66cWuz6DU82pPF7wJ4uUWS9X
LtKATH+/09DkbVCM9PTZ+jAnvUBzVmXAfswe1SFUOVORXFZWjLQ5qkWDfsM4PiEFvqNAQ6v4OOkQ
00HrpW36qsMgvOuM8TQLO/oSe1wqeTeN4yN7RbnKwltwXYbpHFXX2AWGTnlRdVUw+WtpJs6YbwnE
hJstjivpjG5GPVQByiXk7ZNahTAM4n2IJbmLPJGfEWbxiRhdw4l1sJ155gC79iWJkeOc4jg6Q7Ef
3fmLfgo6PXmSVIcUrx/npt5lM3Kk8cocpo45FIqkyaLTakEWqt4BfBla62JxBaGya0DeIxaW8T7K
1WQa1tBcdKNERXuHwfXAWyrRz2IvqOZi5LsChK4ZJDyuAmaumaA3qnZmX498kiNMw//1yCISlzJT
FdOnoE91Rhjjm0V4qh34DONpHxtEB8UoshYsu++YUKppoR0c8/YbuorIyTPT/bxbuPF4MgYu7Vho
idY7wiXbkZprj12+wImHlQesQW+yPSIdTMcJf6UKEyu/nYkPsx8bziX+Fm2N082MbOoemAPSMYhs
4325WgpbZyumAV/9rvAbTiPP5xCivh6csUL+IjjKWqJqsMXrYxTG8YBsX4svqi+iTQOBLtw65hA2
12Ez8fBJxeY/b9U8UiveeUCMGKWqiD0WdjospNN7Pxn0CD5P6yIZ9f/NTiWYuEsy6cRZVoYO9x1M
zeXWMpiVAoJNG7Qo98xInrA+jYhSOYWgkI4lziT4EFzYCWF30wVZ21OQW6xZ/kDYJm+vzWLKb2B2
BSlzqKW+g49ErbKdrNRQ39UFe8xpGxWGcx5ypwLtEvwDfiTE3GWXIayW3ztpvrSfi0oW7U/EavPx
cgmM3KSUlGPkCNcf6f4VImKBS6XQEU437CBT+eqibeJwQue3wFnhTORsq9vQ73HaaHhHLUF+8hvd
VytV60xr/DqUTlIBpyA45mBGZgerujXm/juF3sG5lnk/OxFS6E5GJY2q4RxWqxoXAEsXFcMIBZqY
nSyHRpKPyNIFSb7gURHay1idTiyOYSX77HzElKbeqcCLxMYlQVtuotSOKzY+2XsnHXr0/kpQ1LIA
4hLh5pWEWxJo90aPPgLIEkBubh7tgcX1m6Yyx+U0DEoTPdgRnatdWE8WJnWQOZCJikPhGld1VhXO
l6FroEEembU31w10KZCON7D5RX+OGmtpfHaQiltue6Qh8hVC7bL9snhIkFWrvJdeWx/5OA8ga2Ai
diU3wbTk2h6ix0MB+wy/wC8rq4QNh6Zdusb/ZRWpX97H4KgUlgayn5uHIHXFMKwHr668lS06tzdR
ACwb198Mmenm8igsjAzVRMszMmSfZE1aGz/EPlBkfHCQdBvsamO5/bzIrRQ9skYXrc3DpFfP2Tca
IqG0PqOHig/BCmym3lDrQhS1+2Wc3bp2NnU4tqEinzKxNNnPCo2bz11ogv7Ztcj+Mv9Lo03JoFox
Kb2toJGlFzdaHXqvZQNnOVDq1hEOCLrOMBEcDq1wl8Lsj3L9YDBpT5cmMkhJ3bhRbD0og6bsMphF
RvZyhBcm34ljX6XzFLr1+uTgpRgdU4pxwLcFR0NTJPKbC/SEW7Fqw8s0lIUWEYI9jUuYdLuOzN7P
DEbpyEE/WX4bTXI3Yx3MY00sS/1EbxpgO8ORPbzocOBTVikXsQ8cG32wfQmnlZiCJK7Jg5KXwKpc
u24Bg/YYpIvNHj3Cvic1GbEXY4Dq0tM7J36ZE3faRrHHtQdv8arlWjkuBq/4AgQTX2amVcha6tyK
0vwR7jg6TmaOl/MRO7UC7qgM685qfwZtoPPVIFREG7sfWvkLcYSy2kk79cqzqEoV22Jf1zqXKmtP
pywxCteMUV+Vsrd+D/QDs2Az5hacSo1EoW6wQocTabxVYLYuw08Mn3WK9FjukV2hd6nnHQxDcMYx
q0xdsZABQOdyZYnQYCAxR0sDtJ6SgkNHPqCpOhJmUn0HtE5ips/fI7E0LKHVUIuFjNQrgZDdVEUv
C2eTWQgZou5n5HoqJvhAc2YpEK37lrcWtaen18iGaVm3HP+G/sZvwoknFrjd8Y6GTnlWe1FGmRrj
K2QtTTobKsPyM9vHtYyK8Zhuq1Q3i6bRxisLqAjFpxZl1iQ+BliokwqzTxNS8NGe9ZnYlw2TpaD/
ZE3rZMQos98gTk6WEtmhzuZVhSq7uzfrqFP+FR0Yu0rOJBoj3M+8OHodCNGaPKrKSDKBuDt6iTQF
Ml4XS5k2fCBUjk7UrJyjcdJYeoKJcEga+6ixPbQkN9HT7horFbFpDtVIoroWoiYLpM+k880eoxwE
gPI0JbM2GYH0d7h4JT/w7/rTZCWIFI6577FdWliLsIfFsadTw0wO6G9tLFHru31aHlnv8l5AOlS8
VLyYRV+ciQntvx8KccYEEXvLw+NujYS0nqbJTE6Q7pzW0XM3L+2gPC9GK1L9JsqRlxpO+AJ6Zpt8
rGbe7WCg3IZZ5NLyCGatEl2DAYudbgJVceSLvCBpfyoUyESxwlG57gku8+iIM2e0emQaQ2xH0t8F
lkyMLCaSnNhMa9IvpHMC0ksOnrznfnaX+VSMNucniSDrhJWgDaXyp4rhA5B1PWU+XWQqco2u8lue
NpmCjMTg+UTsL2VAYjChIc7pq4wawU8RZ5YWTULEO+5Qm2yWK9NQprkWCNtzHFFxG3XGHkN2MdzI
JReDsTZGjF+ujDjQh26gWjoLa5GLYt15QasT+QjLS3UTgtvkrfUFBV38J30DOFfSKrckRwncarll
1HXEXayGI+Nx46Eq0unzA9NJulye0l646FBZE5PlvvaQwIq3pTcx9fe4LsccVTKfPOpp6ZUq16kV
vmlBCSqooUsFT0epTk+MctRlMTxRZz0lga6P5aXpTFPZMCDoKmD5FyDMqMVEPL3EOS1H9bnEo53k
lbZ7dBTG5TR8kpO3dMeIWVr53u9szhRsbIZDfoAlqiJ0Yo1b8TWB07fEqrQpdSZq4y9GnBmfTo2I
M9AlPW7Q1CJIkfAPct1RkLM1kEvpU+DTwSIPF33TqGWPc7Rmlc1YRff+wonXUX7KROeQZDL74YmW
vNLEGvStDwiVIMYPXCrs+y02P0527tUUR/ggPDbMfLCgZq71vEYDyf8MTZASncoEnNmujEWZ/RTV
pE/o81PkCCZYBOGqsDI9K9+vGr1RMwJQB3eGho4Ho/KgZuRPFSoDSL/9msJenzMVTm6QIgxnbvJg
1Q0tz/vBJQ8rh5SpfI6nmmdtwcc/rOnOdVn6Zi/7X64cdffmaWrkvqFrle8/3etLAd0jx9WSLhTP
zYMipY2e/aKoTvzCeFTHpwrSryIpJFgTu96/1mM18M9qIdQxCq8Ci2Z4SK+7Up1pdfmYZ+LXJApc
Ak8HAKjMRLd3YpZh3BaA8raLxP7v51CCvqGIomie5+u6tzl3U4XQnQ2AZrrC0z1F5ufeR4n0sU6R
PKT2kjMPCTF+ev/2Xw2VptuR2Fom4ALrlVLZ1IZFH42e+7NPrIn7YIPSx0I2V45Q71/q1ZwT1LsR
t5N0gt7QlyKNSmzAb/XPIPbFMO8xF0jHW2vx9BKRIVSSj6bcYQvF4sV40gbVR30cUY2DedA2nfAj
egU/Ee7WMaqfWGxXQ0Jk/xxBT2IphwH5PsnEzM8PORaW7SXRrnCP33/2w2GmawoAiyItbVLwrIcz
ciwxVBmDSPygJsHRcY7RU7jzSxx4PsLMHo6y7YJDoxELlBrwKkiUl9XgjMQQfEpq/RjKysvO+zrX
R/ME3BObfGzrrPH9R3sJ0qVBA0masjNNXlfD1l4JlqRoIvvo5P9o0WpnBrUi1GGOoDjzXsO2yScs
XpIIaeG1l7kxO+P7N/CIzvxzBZJqAZlDn8LzAG++Et3glBjnVo27D9YzMyrO9LKWbEvVIw7So6e0
RYEgYc9D31HH7+eiuOEC5RbbQvYl+wKWn3pwihRrYepVrjGziisnEJwWMCcp2RJQ6an8buOL3kD5
NrGynmjtja7eLNU8VKraxKHJwoexSg893fTeQPHIGtsJbT4QKFBnfZJ5uz9OaC37y6bKDJ1bdQpT
bURFW9vTRh5Jo7dzWSfkNl4n9BZf123NbXlPBfqO1J6omWW2TppSv3/M+Gw4y/U6TAtU+VYm4AvG
30eNh8qkrSZcqk9hJVOWfX/4X004RKA0Ld8DPgvL73BqD5wsYsNc5u9V3Ahy1qju9REoWHqdATyX
rN+/pF63L144oRbcFj0aHyyAdygeQ88JV7bOH78HkdQ1xgFOQnYOstfOjAuzM7kDbeQ+cIia8Hnm
RRg54tIfNYoOn1wAW0IMDbINj03j/WATLSH4jbzL+HsGogdwYtH2xRc7G+32zO76D6gYhxEEsKjr
CSpFElqtFtB8ua4RZomSuO66H6pBDuDWTT09LdK01pnV+8NrHyxpvl2jzn1TQgHnUGoePFg0Tmae
l8r+UnY9ctUafAagLKKMykk3SUd2B+xkloK/PAo2zMsJfOwthzW39Vc1ZV1KMBx5dP++HvEqoY4A
JZQMG1437G6PIHAXV2msy1qTocsAfi8rFqHypS4Tg9Xi08qwBA9nZC57URRhD0hYUYWO1xwIsJY8
NgziaL4rKxT5n0CZ/5ZSeTDejAHMOlCiALQhO75qBLtu1AeFHKYvQ5HqnRmKo15ycDc5Ob8/3uJg
Put3SvBCIgG5Cer6h/N5rGpqqpYT3vhO9XitwaV0CpdRp/oDoZ4Q9NR7zwHpMArlVOoq6fNPrULk
PeGAYDK4ruPpeiZnwZpIZxcdZN5jI0sHYznrWKqSDhYqcePRLAYOTNusDDkeJwtBTe2eG390i3QT
yUB7jbWz+ObC/2EErF/44qZcBXl70mHvqTShLCqg/cZwY/0mU+vRsMFTBP5q07eJLiw/t9BYkczd
lJ4H+14YUuVAo90qRkog7w+p//L1ad1XUAPAp020peCxmwdTuOEJlG/W4V2uhPctbUvX3tm0R/cy
82uHGn/c7yJnCk5ngHDhpnZC2KV2lt8qDKAwLoA/TtM0EqvAmJGtkXHffEFVUXRX+dTh0Bj7yt4n
QfqpoNV2p2qnq9ENMOJ5TS9HXoLsr05jM+nO2ZHihdN6jFGC0aXi60IfWZ2EgK7dVZ0D395QNcxu
jcUAHdrnEwjELmivHHalbOfkhjj35harzXputvTE89sYaMJJDoqS5k/dU86rspEWXm/lP8ABuKew
pXGPGZbGtDaibr0bm/35Zx1Xlou6nIwpYURdh5NzWd6MnhhuEyFicFCmgaOCQd3uezYEYLaNur3G
mqUjLQoH+IRDuqNNMNdr8ElyWk+4xxgrtDzVSV5WW5y14GL5cZp+HXwpqZqHOAj0Y1vdLOlAScyB
tkG1z3DWEHw/Of1s/rLnvvtheYvzJR7cYR1PsjjNvC7ZOsmcfMCaezUhSL80Oo1MRevHHqIJBm2k
lDltcd+UJec5uBTZtCuEBR7s/an3+E3/szsx9ThPIYdHOoQyrggOz1aTXWS2Aq5yb40VU0nYRNEV
IrxWskFiyPtc4hD1GadfZEJMrBrqjVB1kh+pBGu3Ke9BQ4Fhk5etbIOT0mi8L2xDHekDXie3RcGe
bvclhB27t5xPpkrL38Ug/LOSquUnZc/21yDl+AYO1jLrdZRFl6JAh2lleIWkqJHRorLGgHpTG8z3
aRX1VNiHdmdFCHyYUy/WC+eq/yhFeByRx9EnTYOT6h1CmSpKb17jRuU9a2W6CuywzLYyr/qUJWPK
L++P/8tg+nQxpN4Aw0HVe61dEi4OaXUblPfS9ArwWZN5Y5XUtlfIu5wrRwycvaOqAOwrvOyDXPgA
hMfFdRpAGsQEEOzRhymBZXjdhE3yco+0ArMsTkR8JCpk7hDW/llaQf5dGMG0GfA7y1dNa0h8seE7
b94fAldHtxdTEJVEfaoDDAhwDAbGy2TBykKstCkY36OQn2OmXLZAdqEpBzhS5Eu/UU4x7b0CQ7lV
YtQF3Z6q2FfUrc5VLVW/wkfIuFysyNmLBUtOFw/NH0VCPR2VTeMcKTjvbBbzUSkKcUMNNL+sDO3E
I2mMIUvbT7RdoOiFKOYE3mfSRlXtRif5Pcs0uRBenRxlVIr3SVTVl4Xb5/2mCrvh14wryhfokNkn
o/TZIORkaeuefhwQ10+iGy0olq7jxuQB4skKVqrHrYP+dZPSCGFPvHZcwz9LYkycLKra4Yqmg/uR
VtBLWBKvmLF1qC5AkuQ0+4phPVAS5r174X2TOO6Ftky4rRMxYy3eaGXQkbPEBxHlgJL4eElyA444
yMMDwTtkjEGmztuCrfMBl2TnhLKZUazCYTZOKVSmOxoRPZHejdr7Wpj5bYJG6hkmbuYnQwVi9/7U
ej3DPYdMFEwvkCzbe1U5Eja9NmxFsgetROGtAgwVf4EjmOlLleUDWbt3v3RDeCxL49es0rEEn6gw
1/7gNl6yNB+HBGF1EjPU5ANNkHw5w8HidAiKePkDGrTzsJFdPF+hnR3nZ0kukUZaVHDTIG6/myUk
hDoIp++x36p6H3eLdfPBzbwxJXxHVy+ZnADjDjGhSzGMqkKT9SHyTHndSKv7bOeGsfEoHWKLUgwX
Q96gEeWUxXE+Ceu8x7KKIm7eT1eJF/tAXstRnSXGIH6DzW4w6cKJ5fr9u3wkn7wMChwSCL4oH3hg
qA9hnO1YuJ2PN8dDhMZVTsWlCn9U7YInSlPM7qox7YzaVIGi1Kp3qfJu0li6jFeUbKhwBcGaVjXu
Zm0lvW9Jn2vxrpnmR2l08XkmoYQ0Ahs0OcTRceQiIb6qoPWOKP5Zdkxt2izgsGqhLx+ad31kMKF3
adYb55gPY01HEco4e3yN8zSSiKRuUu+QAO4biOZJdlbQoOcsIArcgxDYLAEDQVvbQhTJbxGUmbdk
kd11j+4hriy5aNEdAuhEDKHRt5bUa6+w7sJuxAPiOdGLpiPYyzyPcLbx6vOxxsZ+VSW1BBHt25V1
DKxoRIBGRvbXvq2Sb0M59lhF2glFOlTLPypZWq+2LWQRgM+zxLU04KtjtCrCuQgaZ3ig6t1EX9jd
3G5NJXFeDZ2pLmyU7+gpdYv0N37rVr9jDC2z1RLa9XgkvKq7dYM8OjO9Mftit85Ah4RdYIfsRM5i
iFJYPw3t3qdl+F/m2s1cP/zv//XzHhruJuk4pNz1f7ImAIVq+4p/T7Q4T+4oaf0s3/ilZ66FD6EC
eSBeNgU0TQ61/+ZaYN7zF/QGi1p5AM7WBdr/D9nC8f9Cw4sQQ+BDKs3V5b1nsoVj/QXBE+Q09XUc
PSiL/Edctpc1AKC9AqMOgpquA5BMHObLzWRMfZN31mlJk5BFqKIimfatqxJaMmaJdEoVz1hUpZkF
ESKh3XE81YhutCg/1O5PnGBL29rg7CtwuHNTuSAhjDSuk55Gus6GX1eZRTiCdbDq/xjpq6eI9icT
4mU05s4xUWCDDojHFF3ZI15uDT49nRxJjvYUKfzpsxXTW3bHNDgDfWBeANonvr1/Qah9L/ItfUnS
LXRXKERAnmHMXl7SSHJaaUMVnUoZnFW9h1FfDl1KHqW0qBoTxonR7K3WrL8HiLw103pwFNC8QA4q
3JGoWdVx6CXa81OhwbzCOHqAedfL6covE09swUVOV0AFrZucIt9yxGm1Ok073UOMknJRK9Z6C6i2
bYplDUiXkyPUK8bakGr6nC8NSFtrochf1iA1UvgvyB7F/5e981qOG+my9RPhD5iEuwXKF1n0lKgb
BOXgXcIl8PTnAzV9pkX1SKfP9Vx0hDokslBAInPvtZeJxngrXfDCzWSTzYJ5OuOR0OGJtGHZd8Ow
w61lvp6d1HyUhsUiAMuxX6VVwnjFNw9javh/F+nVoA9unM7xFneQKd4a65XrCXytTZvE5qNhkIcd
pG7HdyPYq32hT1a3sTNxGYrUa7VlvNK8mONEEpVTm21yg7KOK/Jn2zrOi7EKdNo1iS1oNdN4NLPE
6DAkAJy+YOPlajvHnZ3mo2kNVXLqZcf6ixEkhhrDr/F+kZX5iF+9qT40nqG0T9SU3Lm0YyIYzD2s
xiO0r7IMR8IAFsK/YH0HBaypOGiGnKsjBrcqCXRuaee0lRp8G40GWuea8M+EaeAbUzOv7NdsiqPn
YXb8Z+h3/LjPzLbctLiUJs7Ar9a7lpuUwgADUmCM331MpoqiRCx6WUJVy60htFOL25JqRTttlN23
y8O81DzWkRmDccY4pUhOy/pI3PXm+BQKPD8Sz84+9GFjkxY9Es8Fp/TrJCZ9UvN0lKEkGqgDVhYE
07UkXuPQKmdewsI3uEqJIaG7qUcGoTBF401htzSh5qTmR6c3+4tm++SalxkZnMA/Q/0aA/Rdz7D3
njX4EpdpbIpbVEbxq0mVTxxuIbyQWY/7uhIpPlCUQlsyFpZsMtH/jci7vRCGHXcc4Qx5rCZkPrWF
7+s/a3in9XdmumjOxh5dlg3ZZyyvKS0deaP3AI27zo61CqR+aC2DYEbhJaizMlak+WUqFc8uhdgw
fZ+zeWhe+CNMQqy51H1a6sZjxqFPzEPMGumYD4M61L7xyGyWx1PkWuswrZ5WHfu0FMztCGF/4c7w
crmkgi/7vKmnaNfpWtN97CJb3aNP5kXQkG6qQ2riObTPSYE72+aSNEGkOgDxMavzXRaZ6lZYdku4
9zKrK4uM8Zh44IFPcagdFzxmO83fKpVxX2hsASYGYmPPVZKb8hHRvKY9a9B/2qseEaW8nZXPlRSz
xfa7UPz4T6nQy/w+GmFyq1KTbRiNlnVcRvw/0AGU3EtJgG4aKn2iN/X9mBtBWSYPUeEVaifYVUjn
bGG6hW8LGd4dD450Y95jBzDWhPUp+C1qsthDK1Gbj+kARhsisE6cj3D8B/MmiyAvMXYw8vqLa03G
JYFYAtm1KPlMLY8zGs8oltknaUhm/QFZsv1XC6Jg/kGyQxh059Fiy5u6rCrHC8CyImYsBYG7WzPH
cSjQWU6nrnV55j2snkvWL5b64MHLzL/hWmAiwWOKHZOGq4+meVNy/iyImQfiNY9RZXqEUNe1o+vH
hDGRDKChYCOg4Xb4CUImtodp7F0gNfkf7XGI1qTeB3h5agqNsh6e5nrWtkRQJxsWRhdaQ5wcrcKP
NtYarxeUKRiYYRmzvUnc0j5osGxXl8Gs1dIPMfzYbica26myoG7mqGKTqY9N4+nPnd2YoVXqsDiR
HffIn4J8hleYJpPyDsRaxp+LLnK/qZg4qwoC9g0xblfDJNt5mxdS3RGMFH+yrbHalhxSm5o02Xu4
TdUnQyTlzqz0mG58KYkw611568dkCbsNfKLAJC/0Om3i4slExBT4etfvgCJJHRoV9o1gucSRTs0N
hLHyyhZEewyTW9yxrTefMn9IoKIVtxO4TrZn3ip2LVqIlZBWAWjV6QPysOIJb9wu3sm+qq7gcRqb
Im+XU4GcZwfhDWSrnSqY2a7Ltjda9SOHTvOxsssm2WRLV+28VK8/JI6z3lqy8KBU2UMFaX5QF2j6
FnDZWBIF63bfU6SMm2IQ4mCu1slTYZoXcmldsQGarmB4z5QDm06a47ntynrvFe1MQEph1cc1MHcX
28ZdFtXNXofGsZF8x48ZlOCJU2p0jhXEw3E7l+5waXsRPfig6XsN9jJBi5hikdSxeFjuOAhtaFvO
bNjzAa+5+Thpho9vVD5t506SU2uKIWyHOTskVec8jum4fNX1Ijv7nr+cZSX9P0XL/VLM4emEGM/F
UgTOB85SP9cnbV1aXlY0BIn3jTwA+WOsO2H4EQhNMivQIUfABvl3urS1KgILxVAHvJWuBn+Gnz9V
RAuTnsn2T23BLppiDdu+kR68P6BuP8/hfnwOwxMMyKn2TNxYfv6cMamdofPj6CTytcJghs+eXanm
xVYRG8bvi71/+jAXzjC3E7PgX9x7DN5hLaYIPDHk8rd1nYhjRyBBqEH13v7+o34tZD3y1bhvUFj+
YczZIiNqCHkn3dKZjUsFx3Bv4zcXklNZn7vVEO1ffx7kRRxpCKF1mAG+m5nQm/PaFqVNbHUSPf84
gipy7EilrzqqkS4ls+sPt/Pntnd9dis/B+888FIe3vtifS5j0fuyFyfpVFRX5MdR/LChcgJXIOnM
cR1+KtRKGmTo+xnHx++/9Lo4/hsVebsAm8A1YFIoSeYvg6K6Eq2uitw5DQOkxGnSrCOw45+iEf7x
U5CL+HjxwxR6PyQvIhP1QNo5p7hPoHWmVbp3vX8pzvzxXWgoPfguPnOv96+501tma8PpPvlMxzdO
CsqD/f//xzIB/7PwY6Pbod18t0xymKcpyd32yYxkusebg0WxiiDUdo5649I3alz+0NL9un+xp7Ob
8LUgWfGxP7/hqHVQshaOOGl15Hw0Bi8+LTqcz2DAnHSLgk43IXYvf5zl/PqyQ2rwYTXwbXE+eP9V
ga9SrAYIcs9XXl4EwePcO6O3WTLH+4PJ7T98RRYHNmfU4EDL7zdLl5w6Pqo0T0omZUhkTH1eur55
KQQLBuIg7ofrqvn94v+n7/fDIIfJLJ4173boUU8rKwF/OxVOC0O9FNax0L1kT6Pzxzf9jXn085sG
R8dF0g6ADE3n/Ui2Bn/1dPaT0yI732NOXNpIE129uG9QgVyYkiTQcmfKZDVR1zEUnrvL2I4q2gmt
EzQXKLCIlu++YrRpUXUuVZHcernT/CkZ4deNl7GrtULuhFyuZLX3y82egDYjVngJxSpMo7R5yZTG
eUmoBUst8ynrf/8k3omO13d3TbWgroTZgt7//cgmLsBL0IexxGFEyq1iAALrlJjgr540aMuTJlrX
e5YalxY0+WUc7QXUP/XVfduZbUEyNCPfHVVSuu9nA5nc7y/wn+4J3L23HEKe3fvJlt7i6DV6vPXl
4lF063b2CfGmdSLYqEqDqdX/BOP8sjYZr6xvA1AOSxT52c8PoU27teifl9MoIkLe9SzOYBdXLFPV
0I3//tv904eBG60WbiRg/rI2PYaeePH780nht36bVbl/pXceXY6tN3RJv/+wXw6DdXD0pmpnIMp2
9u6tK3PNaBDBzCcnsmksmfaysngR6RJ//0HvA3mgR7FdrsWDzZeDrPRuIRdom5XTuBMVhEw6OOYG
Da/mdT2W3Tgfd+cmG0FCRCy8q2RKSrJxG9eSQQvt4KjqVt2j4gIn0CDHWWHHqO9lcaU86NA4XxBc
WdZOJ9iK9rzNaY4nxpq3fQXj/0/znl+fzxr7gvE+5xp8l/cMmRRZR4PSujvhVYVYjzS+czkl6T7W
539ddWG4wRrAzgaUl8zGd+uuj3WzR9stT4ymraNnotQJSEvwt2Qq1WdRYSjz72ogwbFGqByvPnlA
Ns42755StUBDaKUtTk6rxDfHMccTpl/+8xsggkIVVKddCvupVsr8wwFgvl8isIHWwDcHFTVzayoh
6+fXTBRoyuGzZyeDKUu5bPTMw8dvj1XXYMFcV5H32THyXGzGujO6C6RZ3kBLxunB7GdGrESSz/c6
JKkSw94Vr2mJn6SxGCR/XlzWkSydLtsTAJHeuv2sVfymKbUPvobGBODSs+o7O0MLh58rx53GYbDH
8MFoTqOcmy4wnY6MgEkBjXVRDu4H24WDPm3HePUlxen+Gv+0XG50Iy/vJtCGi3R6ba9E6twSGqYt
+xodSwCKXaEAdVtTvwKW1quwc+3BR7Uqm6setZQRugXZC8i3W4iZ1ZKeJi81QjEWNkqnwUhaotyH
lshXsG99nOpXa8kqhkkFOXZLODRGYXydpJcDimsZ74uvmhUMneM8uR2ZasVbV2uX+ujUQJR7OArY
bzPWoSuqWkwat0vr/lfxOeYRyItfrHVN2/CuJVVhz99By9MpzA2SieFNSWQmR0Ix1X2jljK5JVug
qK/yuB37u85Cgr0xG6I3t7VRNvl9veicF3LojXYHm1Hd5wwKr2LHqfN7tzG6rwoR9ALCm9nLN8up
BnEtW2OFoqaCx6z0lB/kq9uv9sTlPjSGL/xtbmbiauRuovFrBrC5NO/h1ThYxJQbcBCQK1x6AMK9
cnYQD1sRv3FgJGt8XiarOuKbMGgPqoaVELb5Ku729UoA4SQFGtkbpqJ2f2+kWtJtUG8AvNKv1jI0
ZndqQk1LxXEcZefmm6HHr2lpqga/PXMNlVhiVlBVjTQSuOKl7pUYI2M6IjPGQLlXxphealmAaWFY
0C17hVrdDEyIpPImHnQlIY3Ysthj1cACw3XYMS9aKjkb3uoAMHtW3xJDKMYltwY3w6TDms/ItlC5
grbV6rvfLxGWFaO6/QHB2cXAxVgwFx5FZtqvaZQwmu6GbmoOP14rx2Rv0dd3Bl5W5r1WJOBIwHmS
7wyFfv0A2gs2b/ZitcR0bFZR6zl0Zklhc1/NbsXMrWylUqQICXYqBYf/MZqBWPoa2dZaSMSC2s6r
XfFaGtmKxErg+aAhBeegDB0E/u34c50BkDEBu3KvbJd5RJDrqcp26EL17lyimFn2ZaMxaShmwY0V
aNCsXeabcXrXVS0XYuhgJ7sGt5T7CrGR+jQo19JGgB47z+89RPPDta0K49HJskqEg4zS+ZunMcnY
Zl5rirsZJaazSWZqY8TokAxLzmPGAEkdJMAVrBXBNCfnDe4t9wOFeU4MuS37VbtepGOjZXAMlxIX
Ba2w8ZCSHWj9jK+osQNBWzwgiUxEp1LXFVAbCHnvAZAtA6yFHyf+/85J/zAnJQaQ2eX/PCYNX4v0
O1OS9CdPuh8/9ZcnnSH+A9AiEPfSnuMkxi/8y+PTFAxKKdaobEBcjDW59y+PT9w/jdWxXsdFCr34
2gr/5flp/ofADLApUIe1ffWNfzUn/ZmIYuu09IiM4O269Igw4dfK5W9BHIDPddMOQJHVZPnbccLl
Bo/KDGpZ7k7jnaPZ8ylTI4w38mj6l54Q2yfyRFQbdH7Vfvjb3fuH0afxrotcrwZKOhw77PbWwnm9
2r9dDWQyrDWSAb5AWxmXOF/Yuge3JnNYjX0NY2oSw4vLq5Hi3+Vx8rTZOqeKFjDSkFFG9dXve/2G
3wH+aRaF8YQQwjMoB+zoG85Lxp8SBN96qb91hW9XTNu79tn0er+Q6HElZW/15/5iwViLNw5K96cR
ZhueH+5c2yALysg2eJd6VBPwaYI516094bhURXKs+6+J6jojhMZmbzpCNcagL5MVSZJ2Hm8RNCe3
0FlPZedzhgDs+c9d0p5xKWbihGTbuQbAGMs/lFW/Poa1lYPegvoI56r3DaQ7a/GkNUV3qXrquDpG
p4ZBDtbKQbNOcpE9+w9NZBQff//431XJuov5IOjBGg+34hVvaQ5/e/q2rmKB6WZ1qbzFuBh5MlyY
r4epFyXPv/+kFXD5+1NbPwkaAh0rCoy1bv15nTWVmJcWU+aL1+jitZ04SveY385mkDfJVqdDJWBU
J/AcYyV7Kv/U16w1+M8fv9IssWiDKe6wO7z7eMDuNImrMr24bW6/lvipvObFeg32UnZbR9Z1MOs8
+v3EFJUSKq/db33hd8fJn8WVQvKM1BaKYh6iei+fLNmY1ibx5vlbo43NRsfg1Q1tslCQKVtUwn8o
+N+5zGHWxVNatw34a+Yat8Ce9vfXVHcGu7LtSLs2hqh8xRGniwNDy/tKBDAJq/hEb5N/jj2/uWJ4
leDeIYikN43R/d67y4KPK+VHiDvX+C2Vlvt1RLfr/oG0C+D7/i6vzoKr499KZF7VJz9fpSMZvMik
t64z0TYRIe+9n1ApYWLh7/oRbwmpWv1uhDw2YKqVuKE0qj3i3GZfCMZZedESc05lomC6TfGHKSvr
49whaWjstnnCiAFpCSxN5OgZLr1pb2UTqZBddZkarbtptcXaxrHhZ4G2RHT85piUB9vpi3szi29J
u7IovQe3veAs+9ib2BEypTS5kenMjAkO1EK5P3nZFcpW7yXSB3FiFonJcYw5VDjBTyhDFl161PAn
KYNpRo9lYMYDuqe+oMjoHwZdc5NgKvEhjjA2psYxzcc2MSa8OFzNgK6R5NFnRLZyDNKq1T4NpVtu
mqYzj1hZNUej9YuvFCKw4RurzB8wE1Qu4y4Rn2QkB5KO2mYPl9i/aRlc470kqc2p9MZtgdVLHI5T
7MG8MSkTS2Rgm6Hxb5JIi/WNgdfngaPGnMJKz1b5jFt8VKWenE308w+21dv7wc80c9eR5/HqObXc
dszolt2Ye/FOU0p/xe5j+t7FTWPD+e71Iahic4x3qs9qXo6JYRWx2d5O1lGyKXpyGCr+acABJGtu
dDnCWuyyDAueaHIZZNsKE7C+iELUcVW5l06+jcUw63cTdGlIVlIvkCthjLWz0Ap0e2W56sphrl1E
d8PUou7HNBkPJ/k1iRLTXF66SVNuSX499ggMk00cgXpLBkM/DI1+6fO+zNXJx8F4P/q4Xh1LSYpd
kJlF/fBWQ2ezRc848AwigCMcLHlcpedhhRFxHvZFPrVbJ59iPUQ9b0Q3EIsdtz7k9BaUiarwSZbv
gNTjYIpqo5vCgbNw52hJFt2MvDoO4nCv8VhwRHuXu6pIpQ81kcMr2qoxZSAYwfSzAzI4KG+hQ1Oi
J/7A0H4qXKb+He5ijA6rGHKHt9jsmBVJY2u+FrYfwdjNcXfbpRrEkDpOve/aAB1C3+i12e9T4Q3e
xdYihl6V5fYYVIQVcvFlPnSgFjLZNrC/y23UjWCCvuyqdDcXTsk8suvKJrSxFoKyo+y52Mu0TbEx
cQQO0025YoqWA6WE/3Ttpsh0reOWV9UHaAl+ebSk3xfbPOmd+2XowX8ynHIMiB1kH1WBm5hJv4/k
2FQPHMbWKYsXM0dNzBVs675gmAwBB0MCPCWa6br0Zpa2xqsiN5GBx4O0bLtglEvcwMZlEt78F2mo
WjJr+YbI2nc2HhdAbzljZXQ08Nw6xKmbO6GZM83eMHKONssQ5TaYlWz82yyaMhHijQXBokR8pJ31
qBA7o4lim8tlwkaDntCUJykOuNvcF8lEL7RogeGnfsXyia0WrUuqvcmHNVSuKweAQTXulBdILSmk
JG8UmvWIIY05XJzGn7Fb8dv+mik1RxLj55wf8FcoeRfhdlu94KpEx9jOJayLbrKX9GxgX/ejK2Rm
CbrhGSzeHZYCkL8wWAVKKQdcCzZEZRFtiHYf14G0fSmmicoCZHR86Gxn+tzIxDqMLiykrZcD+KBj
ivg9dlEDJ1RyxFSBOGhx10HwfTR6jX/xg/TV01GrLb6nWXqQyjSnYwWDyrxJNTg5mMGvizPL2m7v
Fh1AopoFjaPeTtSOMJi4sLpj0z1zgvnPQGqs7pJdUm5gOcKu6js/Mm8zSaT3velVPlRBgYrwulf9
WnyuZDA71xy1raeSj67rBcYK0z+YbvobpoTNPQMB9ieuqymNi7ArvsXQ2tyq1aMOj8585NVpCiwe
7irp8srLgaog5u/YU82+Sm5axEurC0VDBPExQZM7XJcaksog1YdW7RSKams7jy29Nf9Pn803YgNR
vrHWyWhuniPi607emKYeQic7Z13AgXqdkEEAkEhwMKtXNMcxZW52rpsqzx48Tot9V+mg9n7cvjA9
cAA3yGM1T7UX+8M5Sup43MzSbScK3NnaNya3NQSnmr/kRW7fqqHT60Orz2P+YXLKuDuUkVZ+nyGC
sYcgFU429AGetU3RvHW7xin9D5oelTtYGzH+OIJtbpZTcp/WfXf2yzyzN7YpzZhtj5lbgCjcf5aZ
BhmwMCtekwW7Dv8oqtpov5VsyPPJM1hSWyA41khma9xRRnzjlkNmas+GHEyMUPyiHzlprVGn9G6h
9/gw8DWMBI3T4gPnfe27akaEA+Y6HtPJ5Fep0kiWUEyxEx8bHssUarnvICQYx/5a0fY/ZCN2CZ7b
HdCrjPZhwbNuCHPdALBpMPyorytHiSut10W9TdqqHM8xdkyYVtq0+o9UIt1X3V+FOGyd3YjLdEew
qT+NXsspMLcPRdwa6UejXiwPihQV2PzUYHTl88uIe9omOGPFJy1qps9JjEFLWLidkx+RVhh3qtOi
ZS8HvKy36TLwhiIFzqxbBZHMvpQMpYCNm1F3sENK8DubqW667ZQ0PLUJVie0u8Ut2TtIqNviPokP
4liYniQAoGX150IBMM3RrHdh1HRO++ENBsrwk8ASRKb+M2u97G4rvzLYYM3Gz3YeeYJQVYaXeMa9
loloYRT3tlkBEE3IWcW1gOg13rcR+kIOd1b0FuUKT5PGAUZaavVAl65sEuvWVHoBXUrVPt9LKS2+
zqUGtoaclD2Damzor4si4volXje7LvHyZINsWD/O+LVJjDQd2DwiStz/zUr5fwsrAt1gTvQ/QynX
KcqNru5ff6acv/3UX5Rz/z8M7BnBQizHGIKJ0P+FUnz3P0iLoH14b6zyNzb6X1CK/x/QEvTJAnYN
Q3D3v6EUYf0HJ/TV9wEOh40Nyr+jnKNmetdx4DWHPgUXh3Xovqp3f+44rCT3y14QxlPpGnYCQ0gE
i7bBYS86pL2hmm0urJ7eDsWk3ClCh62twwv7TSnezKBcMNRphrlj84jw8gvQZi0fABSEeEZ6Z+Wb
qTPoqsz4qVSDG6axY38YheivWz3usfvytWiX1hmB33WiudfxxF+Go4M/417Lkvwg+6w6u5laDsjr
7grZW5+1SUTzGV6v8qCqmP3VmBF+8WTl0eBedUu76OFQ4CVVBqK0hq/ZGw3e7BQs41oP/Ixcv7mb
GJ1084au1AoT1xpe0AZPsHaHsdSucyu116lK6WL5ybN9IAKwxLzLrOp8NYVPn9DqtEHMObyEMs1G
50hcVfeVEMYW/e5gHju3T/amyr4WTDgxPkzTsNPbNAtGCJL7zEwf59zKb50MLviBf2Jdzy4O5hsa
vfTQYweImIaAnW1vaK+KjQmpcIYTGrg7kHvl4/EKuKPC0UNKBOWrtbeENnX3BurW69EHZzH6wTWO
g++38CcWP3peSs99wFgqepT9bHpHUp8sbZN1jV2c8Tfj7HVllH0cJypZzTLdMMcil3vQjEE7qOrk
+HVx7ps1t2AosdZgRhTBsp/n6dwPfeyFWgwM4abOco8TlCDGKorhueaGQ3ovcS2IZydSBKel2kDD
Qc4tCCfZeRiqHkRdmh+bhfoyWDptefSp1UWweuSkB6HpHvo6iTj8iSgr19W3WPoQ9LKdVnQBTfWQ
sWEfk9jGCqvMCjs1XuNukTFPrjACilufTk6EZtsIzFmjaav0qNo6bOJHWID3XhI5WAGJIszzNccq
tWUciLqlcXB8fLkGXFSDAgFgGnS2OW2LJRrpwr0GYbX7mCt7U9rmMR7ktY25TrBMeIOl9UW0C/lD
dr4nqjs6uXm1q5jxPeGecIcazQ0kH7PDbbIPynF+MfC43EHGjHbROD/AS+yOQD2EL2DRfYWISD82
tsh3dN3miQSxPsgZDG6x6MuCEpjiJCDl7CavTs9aMS9HveXVNJ3CfPJn81PVeyJsiSoIsqTXQtFn
eKZWbt+fAG2zI/Otz/i1FieZivjcwvHcLEupb2Uz7yEih51ohp1YcIiAqr1JS60K41bztaAx0IDG
SfLNXtqPLpAhApMaSX6rY0soZE61Krxp42P0c1XZioThlPxnuoKHPqXDITXICCBsRqGQmXHL1Wfn
zJ41CYW7p5Gnk/zWFM288RKLm8PLduBw3+Quo4YqXvpD3bbHarIfWqu4z730ajEiJnyDHmbm8pg6
/b7WO//kxtN956dHRr7mxtPnLcKsQMa0o7QQT13b7r1ZXWempgLfHtRONkW/HUFngzgSz45FrzFV
ZbcxyuJbIXSJw9nkbCDODA+pRoJvaxih3ztd0ELQV3PqXYumJAGtVHByQcIDtG2IxocEmjDWi9DM
x4m11WDjyPNw9kyQuhCLueHgyeIL5SiCC1P3Tw7b5WnA2SdQuBdfcITMDgMMlQ1vhXEXJ+0dtsBb
zeNLIQO9KE9kr8W6m+VD5GIFkHXauWlMcZ+arXOqmz4hriJjOKQa/8Vtk490mQyGTPU96UvjELsd
w15KWzzXPUwyaaRPw5zSCrGt3/XW1JD75vjHPHPvI0feTWOv79gmvHOdaZMbYvHZf2BfAcIeXexH
G6vPLpk5jJTxeb/XeVA7vW4HuMF2cm8p5V9Lpd8vUsObMStfutg0Q8jNN7Oir2/bJFBZ4wZL1d13
TsXugp4+GnScd6zc4vJq8ZqI9JJbCadDG+HtZvj7NOsfiyp3diY5NQ8I768brZWhMvrsCYHQkx37
MB218bVb/I/IDI/mgHtGYwzNriwKFSTmRHMoj7WT7UnioifMWnExjbjdT578UtmzvbVxfz3ovfnY
RG7OAs7hhJZJMZ7tdtIviWHd46ZyRcv27GAVFJgFcUsEPAPcNFtH8z8JH+s/hOxhvu6ljebdep21
79JM3SseXRk0Y9yGbKPepzyKjY+F7Tl4nru8appg9u+OmFOMW4xKTvAM+p1N93SWTuaRAYWvMF1B
nYT5XHj7ggSpYwJoRVjsaUyjfN8XOvbrvkaPP2pYuOSYLkW+G3iTWDO3xCC+CIJ92LBrzbvMiy7u
klJoNEmyvS4GMIsZ1e22yezkc6McEdJ9X6mU7C2MkJ8MQU5XVF/748LBmvn+1pT9wwijrE3d8suo
qoPvzR+Z0xRbzBpCJBigwcTxpmec447IdoydSCLPxP3XXi7KJnQ5sKO22QzMs892ahMPoFkzXnmx
9RLVQ3MPDwdfSQ2ae0P3zc40llZ1i2tMl6MUSpyw51xrUrLUmWtkQHhGs6uGZrgyY0DQ1DQZAw96
GkSW9pRo03o8T/GmdvxA8+zLpBMkj+wF/8S4weRXzIWImYZgrnFfZZp39Lt8OanRehJKbz5rctTi
Q1SiMtnZ7mR1OF4YkwyEqOfxwDlrbsfe/1Jq462RuGnYi6m/7+zqdsKig1G8dlfOyXBD2M2HTlpy
NyinPrWL88HrSJtWaX4yNWREUMDGjVkV7Se2V3GYjDl6zRZDblGUyaOlNHOb1WOydwqHVsdr8rDM
BV+2G/FuInK90j3tOkb39dz4/RSQGe19BxyPNzjgmIGdWMVr7bnzgztpSHIG78XKsZ0uvdJ9dt0l
3WiRo4emm2SPVVzpgZqgofmAawFSZMwviTabdjywLMC6Jd8RvMCG7HN5MbPgbZl9bWT+eQblvff9
avxgdeOWWJPkUui5vZlJuUb10xhl6KVSJNALpAgaXRZnvPLrQzYMghqhiq8Nszj0eZSHmg2eBFW0
vkdm0sZst8lwh0WAd2B21X7AivNQ97N6HDtShVeACRt/bIivqr7/2ubeF3bnYtci/twwDR+e0swg
Rc/y940v542NXG4bNQQTZNAUNgQjj2FiE5ASanVmolmx0DWZdnuV0R8HGE/OV2QD+oepNtTGTdov
NIxGOKgiNW6bZjQe2CA7pHeDVXiB009JsRdVjEKlFDmHV6dVLy0k8HPszPYO2Xr6rE/SmnGGLjzk
IWK2HsrEMj5DTXE+i7RKgnbpYx88pw00CIjbZeCem6v5yAJXmQJ4PLkDyFo66OSEmDcRjQoBOVMl
h+iUIHooqTxw1knHOCEXHF+g5CxRm+xyRN8PvkYhinS+8MOyGp+lvxwdc/oKIdjZd0b7GToKaR6w
j7cDwclIfWozWJQNJCv0PU/uZGeiD3zg+E1R11mgxPBp7EUfmksD9t1E+IMXNbhR1HIG5vUhIVgD
8LZhXuEZxcFCthEkMhtPlT5tI2ldsiSzEF05cl80jndOkxJRJuaBTH59RHvJrhhbec94Uex14zM5
hRRNqEu2WRk9weEpAYvNTaQJ5hZJ02w6W4IkZtFJOnO1JebxsGBKHJZSdQHjUyy5taoJUzFuUGu1
bCmpHTCeG4OuHQNvyZNP0wpZU+TvdNxKg9JvnlSNNY+r++is0vI8OSmqfsNDkqgoD1EKYj4euw3n
YlEDu4l7H6nO3omJEqqGJzRK9o3mLHd9Sa9i9va8U6hKQ9mQ4CBmXO6Iir3WpBp3WJqaz1CYOxyM
yvJJ9R3zGjPjuJs1sVpCaYFVo7RJoKcHJhL8K7hmT1gAoC9D9RamdZR+zaWxMTB6vVuQwm5Vga2/
Lkok/F705BrFVZsM4iKF34PPVd8pgLsV0dkaGQOxRMtNHumIcLRLyEofyifCWNJNQSbBrhWVvxWC
gsdsPQB5LSv+D3tntuS2la3pV+kXgAPYmDYiTpwLgjOZ8yClbhCZUgrztDHj6fsDJVdJKpfd7j43
HVE3FXLZKSZJYGOtf7xKQw6YaUjzLUFz9bUjgze9UeHaS0dnFw3peFdPGEs9atV82qeYfAzYFwpH
rotx6q6FTvdiWQ/+3JCtEln6dC0S70izoe4T9mn6bt9DQnvucJYQdCU7R2ZoL0LOr2Hl7Fyj6c6s
uhMfRgofMB8CmfYbPH67LPqqyZpKG4feTaNJqn2dqts6Nk/FCDbtRbX0sYLo26pixcWaaO6I7tqJ
0qYmJ0lOEusKs4J+1FP5ZLsRfeXx/Dq63eegC9/KMuX6Kc07ABy3DJ7KfiZibCzCT5omenzJ2aGN
59kPTfc8e/KjrKj88Ag1TnlArkQoq+sgEFByQJpny6rukoEJjWAr3W+7mZgi6CX9Og3KgRFNu+2c
upeUnY4zj4Uk4O3yNKgxclTRdpKyOSiu4E+Tit7NdOAaCYZpFZmiUavBAlBcRXb+Anidk9cfG/k1
jy0L/2FpZgx5pXIp8VHF3dCKdt9rY+1DhaW7JNZC5VdC6ZFfpkjoxWBgekRKxqJT1U8D/S/IxqL+
wGSdHjw3KnaWV1jbaprD06B3zpbgkMdJzfjTS+/Gk11yS82b8dWOm+40R7FzrEyp9iKb0mNXBtPW
Hiz1iPiiJJtBvLLHJ1dpAegXhPrNPIe93zdlSPw1hQsdeQBXCPCsTT2PI+FAIwasno2pdy1t28K1
r8m6YQgocNCBci/R3SxWNepnggpoayX3BbGwfgO5hlm7SsyNiLLgxsF0TVP69CZzRI25cLFAZ3xi
DLZXRZcVe/Dpg616TKBDf42ZkdGigbPNU+8T6XfxupYuLlpyylZIKQpGITWvh5S/vvGgvrh3Qsro
uFzzYWuRHQY6QPcQbtUt1czZgdnx4JJv6WdZ3m85ruwNJ/rEV28XmyyNd0lU3bBQyfsu0awd6zCo
izkmpKt7HtM0lTZXPK55Eg1sDNdT451I4ydMME2sNdn49qpLaaBGQLgqDVGf3Kkh3AMH674hK9pX
qqJEsG30U5uStNKU5td67q4mTG2rZb8Qc3xtcLpvxjnMFybiNJcpWXVeSk10loE849GjiyNuifGR
2mmgfzYWWEXpcrgKHfe5lFCWzNhg/hWXfzPCpxj6joCSHnLUZp+xo2nbEdWMvrrDghy373NZ4cts
rybUkCs1QUyFFOxAeUNSmgVtYXmxoieJt5cB2ZiNj1ObU9nWg31UZrjrU/hWc5yOA3eq3wWQGnpH
1I9hG2rNEPjWu8lb7NoHadW3Iz52imwmsWaNPHFEP1fwi1urGzesW1zJMDx+2zeEiBixfj0bnaBj
YgBKmXnwoqDDA2/cT4l2kAk12L2T+nVtFB7Lzlx8qC0N6ARSWG4Fij3OznsxhSSphn27SZ0lpkkO
fqhYCWGVaLOviC0xWFSJuD9Gi/zFtoq3AgnSXRJqfJHS3tVDHaH3MecnMttuXViC9VgZYm02+rZt
bHdlKZU4PsOytnYyd1qx5CSPeRC9S4P+mlmcUum8moZAY/jaGvmua+VX1U/EqsmY+HVjptcq99Z1
UvgGyUnrue6/Vq0iD0tLP1GEEm3qRUjZVJpPID/NG0vnkTsnXrgmI47QWmNmdEmCT0mZ3Cog7p68
cOWMmKYt9ybvenHUmOsrTMoZRFrPYt7Xk+I/4klOfECOm5buj4JuL7WOWnc11M4J+uqkdNt3khEl
LGxBtwXJwc+UdfYqnQ235gk91d0Zfb7aWY0gj5vACXWIsxo5KacaYXKNoeyc8biOcEgzlbePmuXk
zTaXeGe3SksH5ZsIlsuTw54wcXzQ/r6lKsqo4QT5jOygAnfoqJs5dwSKvDXpSJnbOTDoGVLf5S7/
0+rH3Xt5/Zq/N/+1/MWfGS4456L2v3/+x+bbP4fv5fq1ff3pHzaXhty77l1N9+8NeWP//V/f0j6X
//L/9F9+r8b9C12jieoHlf6/R+MBAQne+FnW+P2HvoPxrv2bAIc1HYGdbentA93/rmuU5m8OoiBk
QcC5C64O4v4djDeB8JmKDV0nkQVtmY5y6Hddo4OukXBY3XXYtYVwnL+jayTB/GcsnnXNwzFM9ulC
GOj6JWHzBzGZ7J2yLKfQ2Es5FdlAT4X0FXGbQL5TfY4HczMWwaepkDbieBlGT3pXhT4em5JJOOyu
zZKVz1M99LNLYQtJI7a8jaawAiAoskeqz9Em4v450Jr+GPQUiPhTV7/qZpWqmGegCp9oDiueLzEo
VT4gje6Fpr7YS/ZJGYXe2ZpGKrku5PQoyHMwK+rbgBot75k0We2da3p8Ss0yH98XX7SbHOOGsnRq
yjYKnEuGY3JCo1zJndMHZGGaVkgkYUgP1XXXYg5huig17iybFWCmtmhTLUkGbs3A1+Rxba0xtY7X
hhqz9VB32huNRTCQTdtLPpZSiL2B5v/MAgmhnDqgSLowSzqRqEvaGrVurYImfbPyuTiFSyCDLWdr
bSsr/agQQW1sI7DWmuvYfhaYwzPT9EROn22EB6vp4l1Z5dVt4JECtRsDTMj62GsvdL7Ha5a68SnS
yShI4wTsGjqxdp+rJu5b33VG2M1ZLeEUYxLo9Ta4xECQwdmKG4ZM2EDNdoxHVSMY78hNpzEnG6qX
i0VoCUJ+/Jb+8C2LIVqyM7zUhhOcmLIev1mZMp6FeNdMSntXqsQS2uCD6nxy3iHbzQqL8UbaPc8E
GVEZQep1jQ7m4ukxVIZv4vLHb6YK1l1Frk1X8N9N0SJvt80pdc/VYu8W3oykBk9C8JxYcrEpd448
t4gxANaiEClLyP73/C1W5aLENDoNibiSPTJRT1kkyRg2XylHebzjIYuFaWw982BGrf1ajRl6B3QO
CpJzbOaTV5Bktro4MwXxFujkAaIbZnw+FFGzbTB74GDAwDfxCwwo3jF8hAlCm7wPcLZcbCshRT35
2p6UmazlCLWwpqsPbwGFPEuuSBvo4aFd6kxWSFfbL0lSan5MIxzaKlapeBWVNZoSWlrQJLAP9sCm
zsUzbcliUSE4y5uXc7vw+JdMEzWM/D8XawmPCJQX46KOvVhLHR4AvqWhVwPNFPoti7dzvrwiuDsu
jl7DAEXRD9dm3Qs+32SJtxlUivYD0BB+2hoENgClDOtVnybMBRadIydnMeDXBA7B1tDvh0Ansa27
MMFCm5p1VBJ+HitKa5wOc2UtFtVWaGa8rQl51jkKMucDvMCkPV9+S3rRunCPySAueKbZ/LJ25eAw
0ojhvKb4BGtPljZkwzXOgFwDrAB3SjsA523xwyw5SvriKUdxpDfX7eQRlOM05WlSIPLX3hQzWEsv
xJnBA5dgylLjgqDZL959M74A6CrkB7oxbeO6yr7OhJMwODoar1UA/JSrEIV0vis7HEEn14BZBFBP
ycflgTogmRTzntS24R4pItk36J5eiGvrTF8vOwMyJypyA4YCmLaVnV9WtpxWNo3mrPWi8TZdXoSm
P8G1XZNnGpwSb/Ke8Qk5ETot17hPIspeV1gbqpfW6pqAHjoxPgDtmTs2s3w7Mx/5eh/ad13cNp+T
hTNdZTx0njMvGx+kwzDmCsWFLRRZvSRmlsTw6ZbGu8upGFvNJeZ/vx1UBj7ikQNACyHej/2IYBS8
z3M/11WCSskoSjQoVkBN3Eowkx/CMLEOeEMX2+aSJ6BcV56dri57XjAfbgbDtjZWH4pwo7UmlFzN
9IG0warADWNzV2YyinzFE+OuMKriPqPXh9C/NEvKlZtG0Enl7G5ReU3vlpubJCq38T7ppfEF8eT8
LEPsJlvCC+CslBO/m/U4PHa2PR2qHOHDlKBULGPtCeWLeo6E1awL4rYZAj1JupXBzgWvl52NsWBz
98YCTCVnqAz1+Z2gK/gkc8iak7QHF6A2cScL+jkwX6Y0aU4tO0ztow6H9JxVegUph+ZmGCDzoJNQ
y8RUK53tsMappvJ3/BCRtZmJp8xIKKmnI20R8jobtHsjx3S40W1y0P1U9o1xzlJO87vZMslK1ynl
gp3ezvTUM/WnxBhS+rBKtS64pWSP02Ryabokq/veKIqPZjigKW29Zg53Pb1I5yotdPEUkB31DPin
HrLBuo2A8O9JQ0L0GDbGPao89wF6LkJpiz3mpiYtbk+uQLXRw0j/iCBrPFmBfJxD4Xzo2D525UgL
2Q6PWOlxf8CZ7XuMatz4A62xHiNvJW6bJlx6AqvI3mR6pJ+Hcs5oRq1b/a6JynIzkqCwyRJlrAjM
VlAhfRtVm2zQC52ChWj4ROteTq+s1dnJllzJLt9PdZZhbTUs4HyzJmRy1NtHUaSYfLD24h6LWZm7
xOpWyBqrQ++YXNWY3T6NPN5PQ9Z1163QP2Hfq6+qZp4IUB7GyvHdImjPKPASMnM98TB5mkXAdmLc
wSW3X3trVJ8mzFv169jqWX8XOyoIT60CVwiztPCrWn0U0xzcRdQWUsyXskGjgDz3LbFJWcNI4zrq
2DWmdqNU62waQdn6anLz96wdxnM9x8kmsCdxl8Rt/yJjJ1iHqHxuvcqzb8ZugEdNiygHUQF5vna1
IL3S4WWLdYR2+c5KS3vtWh00c56h9LKc8Vg1efEp7lrLt8vqKUBKeySM97nlkbiJsKWtgXJeDBEe
kiFpzsSBWx+HIaRECxUjxrugMTYB/NcJBDu8MWXZXXWu2stugAd2BSWgOpp25MAVwqwhai3eoTR8
EVkmws5KdC0PP+2atUTs9Dg651CtACnGhyBBixaiUV3RlGv5pG2mLIdZtjaAqjkLK2sTjXAhoekF
8zq0agJCHB7h2yWqYsSGWpl3MrScW0mcyEOJ/JsHfUEjRwPR7KfzuNXctr8qFdLQqgufHL0m21Bp
MbVlI0HZxDBvKbrLH2IICzZ0PJ3EJi2Z3QIGfFPplFB2rWPXq4lS61voU3ObYnF41JXqT1Nj6h/g
XDignLC84gTq9/HYxM26zb07s9X7Hc4PHCiAyNXJzOf6Hmgr6/2paIZNVy6hwRFA/bGj8O0ujh19
rQLnINtEnkvKxJ70hq7FlZ13z1EXfUSdEdAdaEgijsc+fOorsG+ip0HM6sY8OhXxzqMeYjqha2fr
dA7fQ6uSwSEEW/eQG7udo7ZTGtncCXmb+tVo11uLCJvylEUeaAFeu101WBJehjfeV6N6CJLS3WJc
CpINj8NhD6sLapR5KQJUKoqbIr9HvkCSk0oii46VsDnBNVrmSo+m7jQqC1WAEKO55WfGKzcfI+m7
nDdfCCB3vkr6jzZx6tjzHno5+1y5br1fPLKbbBmtqrxRq6xH6DJbgFd+lifOJtbqapOgE/aRQ3dX
w4IeBFPW+qg4F3LeBSJI8v56bmRlPvF8ow+nwBTf+7k3AgOhUIYrtsv7Lh9D5z6DYiA+kWDDVU+v
20oWg/WWGkIPt55TFNxAOrNgih36JuQhG/bZeC7SptlMXYr+JSEw4K5hDLgSWQVdXExm+NHN+6Jc
z5gywbi8l7AzyvsZTXK1ysNoi2t+OtuNbV9TVgNz6dW1tu5Km7a7MmtPo1FPO7SC4y01nM1jNORH
QJNTJedxjeamvsmbsvlMTLO+I6JTHQ1qB3YqlM8MasPWbZAUusq6S/oJMSKVyCkxdGMeZkeyHDBB
xt48TwCtYGcYIQo4kVygmKFwonobqaREeuIJaE/iFrIVeXV8IHT7nNNOafnnqR+bW0oa5xsAIhVv
wiq2uzfZVo8glEWKrIGe6kDsco3DDSWhs6sj070vjexDRSNIdII0dANi8PRX7ADV1WgzyMVw3N0h
HeKA7zmZUnjUJIKcw3anf4hz/qSGlSK/6rbEoLHFHrtaKjLtavgwR1bpW3TlhO5tKKr6lqffATFB
rg37Hzb5PzDZoZL70XxETodpSxPNGxI6w7KcxTbzw2IcekM3iZC51lXKOgwmmyhF6eJxntzmi6eM
vwxp+cXWxQtaFL8sbidXR4T3a15EFvXY7/SmJKBFeec2AtIG5sHypGF1W4uy+xxlRKJeh73sgPGU
YwaT3xhalF8ldoLG/JJN5dSFpW4uSuocUqc6KsLjn/uoxbWYgqmuLMyCjG249b/ooW56LPRWOz8I
R0MKW4+p2sc4L14g8O3X0u6H9qHB3tBs59YwkBEUhAxYn1B+QfIGcmRhCzEcM+uH7CKYCYzH3DWr
lyGbmi8LpvgVa3TxYFLvDWlUc3r4jiAgVUdDNJ5DdiNtOTt1FixDC+5mDaM07dgsDju5ZBBM/Ifq
xiorzOUKh/m4aQiwernswrlTG3+rfgfB5BI6YYHUEHpEUtSvCURQUyKAkCn39rTEJtpxsjgrjYx1
7c+vruXq+cHa9u2FFrcFoKc0iT75+eqSig2uJkFyn2HqfgWcwP/RXvzU3HvkoMSS3TosR5aQSzjl
3311agGlR3ywtSTR/JqzUZEg6urTWMIWVOLRAe9dYw+ZmB8ztS9HjVd1WpclQBuWPMc/f3Fjse39
/N7x6wqESGSQITX99b2jetQIJVflvjEq/nbkD5115aa1eCyShrXZMiBKGWMmZIRhxYyqQ9Sw+BWh
m+1DazQeL7/Q/zRwSdgzpe7l1/ZnqPICP/4Tx/z/CN5kc16cxf8e3rx+H/7X8V0179NPauNvP/Y7
wGn+hkPUcT3Lot3oIg7+HeAE+2SnMZH5Lp4KCK9/4JuEWFOEyyZIKDYuZtMCZf0d35S/cUm4Oo5h
agoN6gf+Dr7JMvwvFxs+TBsDCuirS+jWL1pjEJsCRa6t9l6vMQcUymwRxTMfnghGtk+jrur+IbSb
4FgyqHaHPi7auwh/aL5LQehTOKceoQmSZZxUQUcjVqdYGqsx9EPUevEdYhYdyqggoNKrE38etQFH
thGZa1QyweMoCvujU/SvmTH5zBL5Y18H9gMa/PmuUd5jWYWwaUWVEqTvZAGwh4GQEtxovuoGDDAg
GtK4b+CaV23V6h890lEBMbRY3BfFkB4bBTVT5jKGJOQHB8fVNuibxut8LCFmNIPtbhYaelTN+4pr
E4qf/tgRoDef1YHQWoSD1phWr2aP0GceGs+frSaBPuCDugSSKTd64/uneUpr+OnB6NXBTtUsd6Dd
HtbfvDvM8Hc+kmZ+sLGHRiAWWtgwTCrYVPqE3m6/yKTOnNTOV06FMZNqF/TVOiLrdmjUodc6Xt0A
NF0hc5q2Tdxi3oxLE88pyYFIIOJYQE015syhJbsl9STUXrrOtB8Yn3EVAjMZZyUbT98NtpE9T2kG
ydozin3EAw80lI46f1uWR+ONrDLt6xwNnj+adXBMozH6omUNQaMoWHaX3w8LiTpwZStkdPzvQUD/
Fasin8E1HLcYtrqiO6rrph6lTDUjKOdDbuTUUlbcd9HKbWPB880gBYWFIk2HM7EfUUQIL5ji3mla
FovIJvN4Z5ItUK6SAC1HoZXpcbbKQ68AaleoZrttG4colZEkO9jZJonIJbXmfdfmXAsorY5J1zQY
4gQao6axKVUC538gSTp7VoRhPxDVPn2sq6g5M9Z5j8ncyy3Uu3Kog6gp/yaY9xTUVvQByArIiCju
k1bxZUsngTml3pnWWLRkfjLb2saeRVPsbN2zVqldo+RCruwsqsn5ZS4Ghlir8XZ0VplfBwf5JrWQ
OR32hknS5DoUSZzyaNfb6BoXN3+X12UVnmfkPYKRrucbJgW6dJNNG6bNfZB70xUN26lvEjy+nls9
uMod0unJqB/kjhJEY6twIj3TS5zucklgC0P7oi8a2ziXu9TQmwdyGD7SPIMIg8mykOOULEvDQKUW
CiUib9PsKg+DmTJGw3G2sZxRBruCKnI9LY5hIC0o3k4q2P2svAUfyO8azXS2wzTlt3ZssciFhbeC
qQ43OfTdov9qN8Kz5mNk1Wm2SsUA0J3Z5tNoODqL3YSmigx3btSRvhuLIFPsoEXMRTUE6bZoe2LI
yxa9jh4khA0NjbarK7O56kwvuSEtLj0V2mDftlTeb9A2tEuQTIOpNyRim1VG86xzRnxMt7h03I/9
rMVXgDvh50klCQ4VItAnvvq58tJ1QWDUwAZcopubErKAfJ2feZ1JrpdrLVFoJylQqh9q6M1kM/RG
tOmiHk26lhbz02hP+mZO6ui6p33sOOtVSaq3Pe1E7epiY05aiZI9rHRtUxDtzvM8a6H4icJFilYg
Yhk4KIxVB9yz7h1nOg1BVd5FZDN/8Hj/Ji7seUxA8Uq3WTtzCHwSoP3WJmfJqBlkiop9Cc5ZkULQ
+fgRSoKdcJhidxPRo+OC4FH/BgssVJ6cWPQo3uwV+7eeCBgr06kaH/PauIv0sPCHKX8lOqneKFzl
hzKo3ety6rTHNEXosOpENG9psU/Q+xRZW/kwyOqWCCj0sAU5kSXI1p1wek6lxumCl8vJAswYfGX/
TI9ZyR0KTm6gSlzuosrh0Bpxhz6rISfAU9M5VvtFMrNyJ54wCgR0R2+2OkCiCIvbYRD3hr28UBup
cV0I8DKaB9L5atBJZQdS0Lzimsf2dI1MiT5ArJVkv3fFfKXIIvtWsfafcekv2GBiHJZB+d+PS/vX
4TWOfxyVvv/I91EJpPs3eFudTGGbTo8fu0C4+ReemEWThCYCUkxm5u9csBB4tgysUswxrKFC/pML
NpiVoGLxUpFCYvBv/lbGzS9BEEvYClsPywDlRsQWWvKXjBvd8bIZV5R4aJoKrWRFyMa06kH8lU9I
vneurFDdRWRVgdqk4jGKUu1eeGAXBQFNlZ/FEhKzGYHvMV8Paw1JXYvwe2OPPausrvP3OBpEAJnj
ZYw6Z6xIZK9YHstoxNxoCbHBLuCdhUZ9AJzhsI65a3elmNL7xRm+93AMINfQuveC01uhxxusG22M
6ZHAlp+toqYdXtk0p1fXjKZ4DXZN3FsUMvkBJygcHZleHwEmqzdu6eSVG2u6xQ0KBQxv9IIUTPle
RYudb05z+96rECtFlbEtC33xPzh3mKl5SpVZI546c5zT9Q/Xyx9gDpck1n+uRpevwKHThW+ViBry
9H9JPMlny0o0UpEfZoU512Zw3VRiWQI9trJ0ZYoafQmKJe+2dCtxLgbBW0OVWtrQh6CPaKCnDXHd
5cGbu/5qDuzoWnRW+YXUP+1DUdvNfbS0ObHYJled3RoUQkZt9ozJU+7CSFVbQOryRkr11GamvQdy
OeNmEY8iEjt89IB4Tv3252/a+3lE502zai8XsJQ6+MW/xP5W0pFhoJMlgCkreDGWbz8sS+Mjia3j
reYyfFHipw70HbcbCyJNrHKtnbfNMiOP3ai/VZTTIEIgPfAmLKz0OJQcsMHEn2oKlt5FVdKooYnh
Juoc42yG9Xhry+CZVVLsvDjOnlMS6HyHRod9XAzFLtKUtkt701lPpWIs1XOu6QXdPemz+aVwuvMA
qrJvu8DeT1LR8WUhK45HkKzRHsRGr7wI1Oolw657RIo/fI4j5nfSNYbPlQrMgzuxZ6vW6FFRA1NW
lzGP6gpuyvTa7TVupiaN96n5Rc/jRNG4x8iwpj3CPkkrzCGW5NitY1LiaN9KvJ0+K/oimVSIUygw
dRR8SyvqrpMrpNv1eZKZ+DBhWHgnCZ95v0DBC8psezWFha6xLaKm2RNjGJ8opNavLk59WRj9FeZ3
3hx9K3D5dTQneyScybIghOJei9vxpgEUOpsiDrdUy857YlW4N7V0vsv7oflgRQ2CbcopkZAqz9cJ
Xf0LvOaXM2sRrFCSZOgmfOalCvKX8BoR9kEQ9q52H7U6CmaPmVwzGqb/EUxDuZ3nY5Ll2lHl/HlA
lus3yBMm3OhT9CWpyqVaQARHKKn6g1tbaMbB2Ha1rD6OnpWuQaxz5Mv8LWmvEMAkvVnsMr77cxkE
jBItSRfUlBCJnZfinl2SLY4aVw+JC406GEtin+Nq2vbgfcuBynSvkJkYG7vFMrEEEvB3jv14zVN7
vrtctlVSo5OOnYlcRts4G1UZfIUj1T9KLWc0QvT/ocCafx03MXso5BrYoAn/+lbo6a4uwWyRm2Fu
WJld5+zIb0rdTSojeSP1uvyrTnbxa0KTLtnrpcvygcCJOunl1v4BJB1qg5j8WQX3mPCx8LaGa5BY
WWsPycz0rgxWJ9+pG+0xmWLGGxtuEAxYFdG4k9TmTiuTe7DDscQWhvCuek17h43Lqwk1wDumghdl
TbwZqhGNA2Ot9ncjpngDBNLza4E6mpTc/3L9FDhylRGF7n3mMDLB+I3XdRWiJUdjRMdVwTkT1APn
BfhovCoQtm8cWVSveqDbJ2Nwgq/ce2ivxURO6OgaZ2cY02Mkqi6AAJHBY+bWS3pFEaJ5/fNz8/I8
/ufDYrn2TdRjrmEIQQaZ9evvPpAPoGZrsO9LCG80pk0TfOVqDuReNSp7NpCTXCVjM95kbl/s2ssS
LKhbOcgq7o8XzGDwhDpk9uI/c2vtsWVh33mD1ca+Qo1zM8smPruwv7dDTqXHqmUr/trzmOAripET
BkN30OdZ9j5VH+NtZw1psXNhI3zQYxTcQnEMdV3wQURGstekJo/4/QTiKNfZZo0ZoumMxheUYshL
hj44xFOEILZwcd+1kEjvVBhzXgkMYYgyK2FsZrPytiyEbwZG3yYyi3plplV1yMj9fClcbnVmAhp4
llsvIHv2i4LG7AkA4v+kLyug9ECJe8IqaZPMKS2Dvq+jLzpc8DbRo+CFK69/t7J8OUGWjwaz9LGj
e+vK0tmlVlbOyVfFSkcIlaePeiVm6JPaiUE2ks9o0MpDHUYj3IZgvaCAxMd7Ic7RODRr283Ga2oK
eZb8+YXAkPgzyMWsYIIoXyoBLuPgL2MDZ3XeNSmUfpQZretP5K+Pq8vZnA1jvYNzpzmVSCmERXMU
bhnFqldHtFgwDM6kDQkTh4gKYgJGk+xYxxny4SnX49TvtSTOV2FYbFsSabhdwY3fpkHPnjj+2zcx
WP17FyNpX3uOnbtrEiLKeEdHa3bVF63NUqxPXAdWYdJCZWZBts2MgG0HSRfm01Ab19NcueTEYCaB
F2W/ihqqWjQR77za0e5QlE00UnR696W2eaxwfS3VlHW5H40Z2RZ3LWr4eBk5l++1GuL2A31fe/wn
/QSnG88bz5w+GFVVrE2UKyt+nyhHb8AN4YUWF2siMGo7UrqfTdfKyRrs02NpJPqe4BUk+Jhx691c
IxG8EiPUnk9VWPTMcyB+bvCXZKu5GkxJpWSefGjQWiLSSWsn3BMsoI9+bnIarJqoAl7ykPFoBEcy
4KixPOpwJ7TK5Bgt5yWF34wAwFr60HTebsqRx9bIB4U1lD8HbcdtMEUCfEI6jWWts9koHsOwbQ6B
bvHUmY3EfItMslX90HCq9KTRAcX44013IXGJ2mamoO4tp6EFbUjN1jlxsuu+RmTrObTBEWkfSyX1
nGV5wvMVlT5qFHPJTIkRbOrdfJcUXoBdhVyEe8VsuSf+Cwa5wSP3VdC2fpAgKpusy0GNpBMYC2o/
Dyh/wPpk48R4L1WANloBXa5i6OsSPbVCOEUk0MquAn2NKjH76rrDfVvWC/fC2BqshtQt/Az/zrVL
SNityN3B52Hg8clASt5dbqT/bLZ/sdku+YR/SgR8mEoqMsMfV9vvP/P7aqtbv+k23mtH50EKrSD+
IXPG4Mq/ctkuicOH2/yBBbBJb2V3lUsKu8MZBgn2nQWw9N+II3QRQNMbQ5stsunfZd7f1ygU4t9k
33+wVsEm/Eg46ZL0WMOC52JjsJj3fllsgw4vBKbe4brLv1AYyDH3FyvMzxuM/S8vsHDJP4xBajSz
vBp5AQk2H0kQI+817q9jz4/yL39+2F9o4B+f+myF0mbqoraT6lCmgJ9fazIaI7OJsYb0JTh8URgg
kdQdnsiSZl/7U5OMofwclXSt6TseUKRbQPvblNEcKUaow/wLx6d0Q/KvrYiwenLcQn03yaJ7j8nS
jfNzp6wG/ZPuVPMha7wkUI8YzSZMBvSyPE5E+xEmYh+bNjFuk7ok1HFKsLtgsSxY7qWpbHaG3tEG
UM7exO9hZ3kdpQCJjOtgAFbRu+WaXyKn+cyZ8PcVnTgqyMAn8vi6UxbUxLbMyBmGbd7HmZmf3BYr
tT0687U0Unv4pJU64LQW5ig+6ckjRwuP6Y2ludWMN9OLtIcBNahVbMw+ZAyo/DZN2jEg10zF3xss
/nNq/NWpYeuC2/zf42HP7yovi/anU+Pbz/zOHRq/WS7HgoNnngYWrup/nBoumUNMt7gcYHv1b1jZ
d0DMWo4NW5Bh4cKdfztRfj82xG8AZXB9uCekoZNr9v9wbIC4URHhQU+S8gj09mthgzT6bo5LaWON
YAvOI1w4SUgk/w+fyR8cTr8qASTJtrzHBfshmImEpZ/v56AjTMEsw2DfJUVBuAO40EqOQUmGCpny
uUNZAM2uhG2B6VYvf/7ay/f148mI69IwKR+mgIyPjeKl5eT84eCi0QzHdyo9aHUPJbWrCCnqR4PX
tfX0PjEELaBeXnlsQrG5RjAZv48aMZEbB/nJOlNLMSdlNQhUZeab1N8eu7SMbhqZUMeL9tb220lV
myYMoTMbN7jPsRms/y/ehGvxBmw8vFxIv3yCOlpiE17R27ODiM1olfMW0511iN1heqpNvfcDI0W7
rOXwWIaOpWDwgErsMpz4/ajWuXUKMd6WDe51vUcdjlWRBFWZZofR62kv7PE85Igpt1OB5H6Foe8v
xT9/8D2w8zDBg7y6PEJ//h4ai219cnHxxybxa1REIRHu1bRzy+Trn39ay6Poh8fH5RsHaDOB2RbT
0a/lYRgySAY1eKWe3uT91KKAbx1ZH0m5qu90G3Dpz19vuYL+N3tn0hy3kW3hv9Lx9nAgMefibWqu
IlkcRFGUNgiaNDEjMQOJX/8+UFY/ibal6H07ot2yLaqqUIlE3nvP+c7710NVw6SMJQ7va1mB360w
S7SYOoyc14uS5pYdhXDZHi3Vz19leYK/exWimRd8GU1sMubeXT/ZsF2gpKbyJctrD9bntSIH/pC1
wf3PX8j6m9uVAF7OJNx46BbebwppxMx7ZA0eLAY4x9lvLRywrBkN6XSjC7vJVyJmvqdUl93pwQ0u
q9zLNk4qwruYicwFwZ31baOXdoI3uC0omMQcaLPT346W7EYkenqfsDY/knxS6rUNEsVYRVCsGNRH
vMhUObhZAwtPLEAsYJFzcvj5h/yafvPD9aQVSxya60PTWULm3vV1Qryq5Nc202FMbYGGUY1HPwrb
I2gb/BZZC3XQVq/M14yNSzDpisWbHhBr9rtBVN0uq5rmXOGSXUJO7U1N6N8ngbXk7ALm/uJjkfnk
1t62EaP1QeDCQN+HAWXd0HS5t8xM7siAxno8xDicotLalKRO7wEQinSIvrCdZQevc11OMJZ7IH9U
XfB0iQ9FFTJ4jLzkQGkCwAIWwhbJv9hTbAT3TeimRxJbik0p6rhbkR37HPPgWRcMYY9ONQ/XFeyU
ejXMvnNZBGRtDaFH/32wKBCdql8jsAVu0IkIenCjsgdQl+u8LsnILbRx7cpKv2jsMSs0rt02yjp7
74YOitDUi601Ll8Pn9fs3II7MVFPtsUnAFPZayViwmUyU2q9lk2M3mxUpr0ibGR69IMy2/iFBZ9c
yvyY6nS6ZD7rXXs5VO0uSBg+k5U6Xvdox34vIZE9keC1NSaZruMw+8PIjOAKmoyxASKDAcNvTgW9
7HXuiZpQF3nETVaeVVihV8cB0a2iBoSD4ZccHNPL5XpuVJ5Wa072xqpVHOhEYX92F/6kg8HoGGVF
cemElf5o5BmCBVGY8xn3Ff48cGs0wnm+oA8ZbbgFMsAl4dhPCJ7bm5TrVB6hUct17bf2febQhK5Y
EQORuH1t208YoNQO/4exsauJE7WyyuYjaFHMM9k08tXgoW4nFR1G3e/i2L61wqLfsrcNxy5XiOsJ
tg9WTWy92A3feeOJ6lY3ZOAyEkHWNmRIQ/J+A0OYOVLRQTk3zROeb+rWyIFlIafoQ5lGV0BGvsST
Ng8xrXGMErPepo1HNz17ssgu3tBKT8mEJQu8c8NgZzeNuPSR7KOsyOQK7gJdANOOiHSrjVU3mIjm
pRGzRfVL1jBOeidV04URRHKf4SBe450PP8NN0LwZIvFiWNHrGHejWjVmPbC4htHf8BjKdkkUeOUm
HRO8gJFn7ZsW/JY7A93oOB7Di3M1SeWtiSWo9QN0ykS40khNq+tZMaBbUUjUF1oL5xiXU34QdmIe
fMXt4hlamRlNWEKD+y3qDETrgGVWcxcDvTLT8rkZnAh1uuhfPHKrHu2hGU+YuoZjNshuNUSVc9ng
v9jDdULAHprDsRfcX4bOMIznRIqjFk/9VhzLRPpzvRG1B6fHjIrVZMzTR2cwy51tWvHRhN+xdXKc
AqnGbyBtLJECietlgrppVZpUEK7iHwntzqoNOTj1SVYmlgLV673hBSDSWjPbhWijX4euGdXZRNi5
CSsOBRQYJrN2K9tUFg2RBHfmXswEUFhmj/FlYJDDJ25OSDqsLf6jDPUCVRBClPbTTJP0mqRC86wT
BAibLOzQ+ZiVGv4AeAaALjdnyINp8xz7U4TIJfEf4qQrL0vXF/eGyfmCVkx8jS6I08nAkU+pcSEd
yJR3B/elRnWKjIJY2OwuxwbxmAIh22QmwVUJkc03hgsqL88Ezj2EJrsKxvAD4N+cJjlQyNmIzUOe
EuSeNnxIOtqoruAiwOhFO6S1XZ3teIYR2BLtqUccZms0CdmGYNhqi5mXT54xVZVmMW7c3ra2dTdb
yMrwgsx+hUgNCRI/Y8m8/US2lLsGGsc7IYEDifrQ8ZEY/kZ4Q/2ZdhMo4q0tY/cahS/0L9Kt9lWH
Xw6MR76WPlQgziruugrxfXCObE4D1mdUQ7F+5Qw8PCRDw76urPqU6hzzFGcbay/Mot6HpeFiw1HG
neYF4o2R8+SdcWXxtnXsfhlJ3sOM5cXdnelX/CqL+rvGtGpGQ7F4hHZ60aKno2Vdq30Lw28EJmra
F+5k7ruaTQHqsY3ApYYaEtfTschwdQ15Gu+UHcZbBT9EhAb5aV2XrNxsdIFRmjdNWErQvsyd9001
6HjP5fezZxgodXzZtEWNmkpTI3dT2WtyTBpcICiywksZFm7FzqrJiSgDy4nP02hNxXx8e7z/t2D9
RcFKd+rndv67WL388a9jmz+VL99XrX/+4P9XrZhBlsAXTy5yDJMj9p+Wfl/8RlY0mmrho63+vtVF
UBFWck7fwRuRd9HCfqtZxW+CNg4a+jeJ7Lu21s/aXHTG3h+DKR9sbAS8B94X86wfD9s1rIemAONz
MPwWcxNt3A+gTzpsG4EsIIe7j2MxDFek7yUo4KrHHFPr0Rz9M+6CHGgbQRebqnUKRK1FeZP35gOb
N/i5KoebqhxGqnNPbFkjiBx2tOHvUuassK39c4UciTMEDaFpbJ6kXVx5Y35lGyN5MVW46RpXomYj
dysnbAKZX/JKTz85F1xHTgAViXulqgEGgeaYXGsE1j5fKGneeKK18XCPT2oaJ26xZqsdna0wgb62
eZptCox0W18FZ9+e9uS/VesqKl9lVl6hU70LJzdGOQpL1Mquej3fOCkUX1BYa/ygqylOnnTVqY2q
52eXdnk+iGfle4+1bjEVs1c1jM8/oY48AIP1VlDniAJvwxmdZnAWnf2YDfmTT+DezozGO6a/zAjE
TVdQXDpZ/ppWFMEtsIGdncMMsouRs01E1MgwDveRPd4F5eStAwsuepPLZwSAcg9E/BBF+iLrLXWc
c/rgtNG4MKa5dtzkZMW9BXdyuvdifTdWzmNsZ6doyp+aOkXA5p4BQaEW8Zx26/CBRodcrk7fODnf
lbY7oHMV1DaEEbPD43SCYraiZ4eeWXGhoCyFK3ZM8GmWGePSWhBcaHVA8AJaiYzlWsbFUy+gXDHW
Adk4Ks3RGNucw28g9PCG48ZNZ417iocLEVBMGoN5Ufm424csfrVzfpsrkqssmy4svpxDoCQu6zcd
g6Mf5rALUUl4+SaRgIIZOCFTxiy0iXlsXTaEuyk9PzROzUDVne4L091MuiQbJW66TaiSp3IgrB2+
6HOg5gtCYvCyxw3Eztp/TNCJBLV9LUfCHj1sURqa1Oz2zaGehvu5dg8Y1DsWqn2ICr4jBLfgebsB
bFY/X3hKx9sRaOIaorV9kj4rYZrJuKnJDl5VrflQRuJZ2hyhF+IqIOH8BAH/vm76e2fKXwsz1WvT
U90GD9q9HaK7yZKu2uWciyHuGvGa3EwUvMt1F6V3JiD7kXNNuvMcF1Gy4++65ef4nKt48lmKtveY
+I0+AGuawfChY7CM6ksaAlnzMYtvGiMcbm2PZZdPUbgG1+6uteyGQw3J81Rj7DkyewqWAsC4zmKd
w6mqiuvSqPTOBC16InejXVtGbj93ov2ih8a7FEFWRawatUAxmiyGtUPtZm/8bB6fQh/twSqqrNzb
E/9SoqkJH4rJ8ED7ogpOMJ1B54rDs1NmX+ALMjKe8u0Ue3o928mmok8Ep2eKifTxPA8K1tREp0DR
bvHI/smN+KZU4P9Hw3lQBgZn6DvudiD7YSo1mNQSFUEJvXtLxPUq8NGeVzMhA0VSQIfVKrwRHU/c
qGT5z6n1rATU4LYu0E4OKBQmS+yw6/O9aW6BfmYZYlM3GSA6wTXqpX4/4Vsnk8x/9A3v3Fv1eAyH
5hVb+oXjZb+IZPpLiwZnDPMSb0l28zkPLv/9u5ZJkoLzTiEbHJxh0Xz1dbc4rc6JWyPoEt4v+o9/
aZ3wapIHGqcm/BaA4X98NengJve0j9iXW53aGOQn3knqezb0n7cV/tI6CSQWkcDnxUxLYvH48ZVG
35/sFJXvwaJ4kiG74bIdp2KkydFSXh75lbn7+WsijvyxMbS8Jp1iiDm0hfn/H18zskussW0IjBV6
19Zth3s1cWMbNhRTw83xrrPt5/NF07K7/fyl7b+gdZbXZu6NkQxW11/MZDiXRtyNQXlAwwBzDcHF
jeYsumwXF7CmsgNhRc9jC1eRKmA4pWQBAeHDSAIN4Tn2MP3SLuqx+2EsdQ9SFrRU+2YLggvEI9s3
YaUQsgH0MoMhIqPZFe5wh/HzwXRjkn0m+DZBjmVXKbl3sYF/jlzaHU7A9vDzT/o3S4gWtmm5AikW
nfl3X6yVJxL9k1MeYguuqDJvMB/fYC+pf3FF3xQtP7alEDogquVoReMfL8aP36YcRTDxH1mrElUm
AJwbLRJnSxANfG5Ppps2wPsbieIWD/GN35nFbbz4+Jw5eq0H9uXlqIKmNEOyPyEJbCkpx/7ekN7Z
boZ9HLDdu1WCpxGx576erOkxci29R/VRbadEJxe92ZBzmk0PU8Njv7cS59QlAVkfXrekRievYQLe
ucxyvsUpUHuofq+heuNU4KBseXhX9iHW7iGOS7jIwCRA5UwXmY+/1ernG18zYCAWC8N7QAqRi2rd
hy/0iwv5NzsMwxWCHoWJOwsB8Y/XcfYNBerNLg/4g9+OExM7m1tZGItG+xfNxL80gLkLSPUkdw55
mMTe+uNrNZYGJOHo8uBmw53TJqcCFdzP19+bLfPduvC9Zbi7/F1a7yFWSYzYPjfN8qDkUOEdglmI
feB52ekTGP/7rsHkYzmEUVvnMZRkBpT5yZjCTySb/Q5btURiNIBlzVP7QCwsD1nJ7lTp4grvxCtY
F3vrh0l2yEkJXKUuGJPenNtLhCfbIag+Bh3/2msD2ogaAQbD1nFFd7VbY6WodlZDA8Wmm7LvJxBT
ppW8uiVLsE6yqwGxWOZGerHbcEAV5Lq4olqXZYztxuzuVGnFW8eev0r4/3kg/jd3LN+FBOPBPozm
1vrxSymtqpuULsqDyCkUSNxL1knXc4I3Mj5zzBVIOG5tch2cC9fDyNMieZpFcQ1x6CEIs3JreGW/
G0Mq5s4TatPH5iN2dxvcvY8/Y/DOJGN40AxdMPIWs9uGnajCKLHxU/1gWuPzDNmRkIoPk83pUNZ8
4MaY9llsPmgOYlAA42pv5+NeVuNd5Ho9rQzWJ33YEATQACHVcNJNEeZyb7nzg6ya4WsGzT9epL+5
SXhmLH+hLaV6e3eNxqiGXjkO5WEMyg1HHPINR96Og9smrKJffCOoIrjk79YwaZeMGl0Efcxm3t2T
tWNrEkZ7CJ54rLYCeNEmCNNTyJNKCr6fWbEkZ9ILsYqwTaUpJ8Aov4I1Mq+gk3p0jCXcYLhIW4lR
aYWKq6PpFwD9E5fGEFznEhoa1Id0NZXKpq3aPhfpfDfl+gJVDQ9jlllkZ0/huJxS8WSls3mFCnCT
ToqYx4SIAjgVBEK457fycnYmRM/onWlbZyfP6PiJijjqKuw7IItdfJxAIb0VQWEJphvUhzqV/Xif
dBSSAa2YNcKqceXO433TRUjqHEmHb7gHOnZTG8nJtjmtCbIhkjLTm+UXRsG/CYdlQVb9sBMOfKnl
Nmon96z88d6LlgICRRH3E7jHvOa0hJHqaoK6vfErfndjuI91ClwcUFh9Kd3puem6DcEtlAp5coWN
vSDQnaO4kzuPaTzcjWSTrm3FnKEsTsaQnuaC5lwTcQN3XX6iKN4XIU8WaEksTO4ObyQzSbhfCKEq
T5lwz0M7bGjvaBSN434CorAf6W0j5HbPWKIeLSxHv3gee39ze3PWQcBturjx/zJTzkmhqhGMFofW
189lO9y1Js+9gUISGHe6Wc5fb6W2Wkx0HTNOZlbc82XMiHNE/Fen/Fhd2JusK9OtzOQmGMgDAIFK
TgCjtnJLqrc+5Kh/KdAywDSkr2wZhUTPNbO+q6qRMdBQnovEwsvLkvtgPfv22TLYY9JOPww2xy2z
sau1ZyaEr0UEAOQBJ+uIwpDnYWwrvpCIY7af9vcd2ZirxuruGlIB19gGr4glvXPchY+XgwRImowh
08hsLR7vgaaQjiAI8nOVfvbauSJfo7vzqQ4OWeKdBx4iFJn9ve1NN8tpvvO/PV//22H7VYcNVzf7
2j9LQs74JeJ/rZ8alSfl0w89tq8/+q3H5gLApPqhYcYM0nozXn3DZjq/2TTfHAaUGKY4BnII/FMZ
YsPGDABfL7snxo6Fjfmty2bbv/FbBbUOMrC3Ztt/ogzxzfd3mBTIxm3InXQAsR+8D831swkjRd6m
B6ZMwAqEzGJ/M7esWMJIGjltu6EyFRFKfgykHoiuc8TnKUE5z/jy1tYIGHaHL7bItgohQn0wciUI
bqjYZkxQOnb7UiQMj/UCfawWuqJC9HUE/gbCQ1spoZDYCHGrCyY5Y5qDY8ty1nEBzftSxqH6XELD
+VyZM1QPUlvgLIylCC4FA9Gnt4hIrNmEV6iS/j3PDyuo9lbuo75uswUEAoG5gHCfJvoGz5F86HEX
Ar/FzslItw2muzfmYpEI1KBgjo8hk8C3o6zfQM0p2emV26gA7jC0lDYAC5IDmiNENaaHIlDDJ2vY
8pzf0Z9A8+slH6OSDr0ry4qagylscU+56j75Fqd8pYz+YA+x/XFe8HqlDRkEFBMjIHC4BKBb7Dqr
ign1AyMF/ui6TqoF2ZgS1lTJuX1JmwU/WDrKuk/aHDZfWJtkT9oNvw2ghLoAuek+6Yifo0XHG3DJ
tQSORgTCDdM7i10lVjgrAPJx0pMTn9rJeM0gs0E+piafXeYuJMR+NG2wV1D4S2ZmZzsz0stgCAUD
7oREhzAZjraSGYMvn5/x35iO9HAYOxYTvJYN65or/PULhTqC7CdKyBa3+uUbHjSp4nylbftIZ4cs
v7EKMa9NmcWEE3QUoZgGbRaS6XXKn1INMX8PWurbtZv3XJcxNXiPMcQ7pszaMdy1b/hRwpyO0vFQ
ZUSqf8Jp5Ni7vJjxUw/j/BqH/YLgGIj8RJB3182tiw4mJomFUDIyvjCj3vqDgyWcsRVnPFHA8XBY
gGDsl1VbsNAzUhjCncZaFzGeWbBzf6rRJwiFnWlj9/OIvcA0P7AarAbeESeBDs0OfnT7GDgCQkju
+9Awq6hl8RkWeZghj4WKQ1nVvQDZJbrS7Cpxjseam9CXE1+wqgKYpcEb9zHjJAJzDxZ4ss4ktt7t
wBL1qARLeakqWC0H4tDso5EOwEkZivG+vyY+Flk43dnYhEOcUwUrhsFn+zJNDi+JEZHvbljWicZB
9blfvqLAhrNduFB0AgHqDcG1iagI4sHWp0TcazTRtExF9RkkU/jwtoTfElh1BrES4Yg4p8siDb1h
4vzRc0lGK9I3E/4pymqLQjNOYakuipsH25JcuE5VQDarPGDB9L4J3qtcBCZvtwQu+2RPJAQXj6wX
vmxUaMe3XNnZb2h/uhUWIrQN4t4ZVfhgpOZA0BY8NaAEyEXXeeNzc9IBpVNpQU0kZ3scVmNS8HEI
5oVGPvGF1qbmdyErYYFRWdL4zgC7EKDhiPuBEcRe0yeHPsQR+OjHSkIDzCVihgX10iWaPwHGDwih
nJhukg98vB2IS5HAbIym1eyn0Sw3Zl75B89tzB15ZfCY6gl5wIhdj6ZkxuclXhMi1oy5I95SdXCH
4f7mDc02O1ZhKeJRdTtVV2+Q0kSjfbI193KGFeCI1AJmbiFy/pw3hGqW0XlJO7YM0wzFfedWPVcQ
btEdUl9+kxVn9ecMDh/n8zZizgEcyrdZ8xgJgbwGcdrMH1rENc5h6tkikbfLyynLgLwa0uKLysnW
uQ/xz1SnSPkE6NkQuOJTESKoS000RT1ji5l4cL6lPAkXKpDF1ixCzZqCTcAC197M19q0i/BjlNzh
UynEfU0leZ9ShepN1pBOBAxRsV5ECwRKLUjdEWgJkLiFn5QsbN+iELyftKC9ux3ksnII4lD65KQN
f7yF8ucFYmiyT2i7Q97jJQBnyweiSUR6QUnWHHqMITUNKNa8Yzn8kNnxmQniWNY/laA498kgH1Bc
kgjLYIuXQFVXd7cDvo5phxeM/a1puwAHnr2sR7lwZqs6kA/Q2vgiv25paSsSotf9kaWE3KLpj2nQ
IqyoB2dscA8b4sbxuLvyPEMCQ60RmlDIdm93XDEEzsMIdJOWR+028e5tZ1UqBi01xkH9IBLSGB5G
xi/ZJ3e02SdyZ/HMiAFlgLPAgmXOfCHt6+JWLIOYICpfkOnIY1NVy8OgRuZKlEzEDoyVmijj2WUj
yzk/9OsASohg5BSXIr4mwlcf2H4YCW1E1HOEgPVEEu/aU7O8KMoWEqflhxNswzaR+e2c5n+kZgLQ
ZE2aS/TAo7Q54K8p+IoIhqfg7if2Wu5JCPRsMYo+jkVYuF033osi0lhFojkRS9+bOHuCEQi3Zzf3
dLePSi4PonZhdQM8rS54xgQ3ovTNkHsXqndTQ3wgcK47uybMb4DsBNYvHPDEr3FEQvf+UqOPMCxV
X7YLN7zBgGT6KffAqv/KZetAtLVxX5GaJsm1vTEXhpuUHX7kflcthDcDvsxN5QyrFPhbSOViftJe
Xhk8J1ThhUchVMGuitKcagx8hW321qYyKygwnjUTcEfSdbTyaielx2AVByFwYa0SpyLEzckgOJbW
AF8/mXdmTxiCS8onKU7IQ4cVoBoSHbSnc/8gWZbNOmK0AGkSt/NFZzvzdTB1/qlNJY+5ZKrhPRq0
J4pRfHTEoK4M0yuvkzkLTr4VsnoFogsPFxQj17RaJCETyd2Z31+Qn2Ne+Ygu7VVruNNT7qj0IwjQ
j05KCNAlFGrnts6I7DNw2YFYnhu5CwZ7eG11I3+PA1AfLXa91cwi29aunxBCoqE7Gqk8mAMgRD11
iGiCaiLn0kkZNdptehVg2NVXXC/vJe2CcjcTTM9zPDG3UTJ+lEsyacYgae+H4xc0VQvxzP8dg7QG
XKnLjSC7aGdnwG/JBWpuW3CwHH9KD09/MT2nvXVv4JADotq2V0ES4/ud0dQqvy92xKc7+1AOULzx
Cm6jur2vZQ9wt/E4GaHUqtVVN4dsUWQErV0ik7eYt3HbFY04WTDh0byp9pjJ3rlUiCBJ3ZpKiC01
7AyY9Ss0MsHWkIwhU3Ysoh2L7Map0w3D4JMxZ+Kah4DmyEc6RhQY3jFn6HQbEdljlzQ+LaNt9sHy
hLA1CY8T+hkalHxhBEYan9twIp+BKvYKIAL6KWIcET2bdxnooUsFevKjNVnGpS4YjBPb5vNzI2fX
37shp/AN6d+eEHfUZNR06hGbMTTyosfKwPq2MgKrsWj6o22cTa8mOBZS1iYLnF3vE72Uqqw4jowU
nmjFPU7GQpFh3F6sh6ZpgZuybADHohXSc9fvzTCL125ARjmbf7SZ3ZwHURR3x6F0X6o4crZWJxCa
VWa+7FbiqNPGfgobs6oZmLbTIyfiLafrhpNgYpYbnZnZtqsd7z6s2VHY+Rt0A0oAfUks/2C2k70n
eVBvWgu5ootoc7yMewPXb2X3qezZSIKGa9e55h1xb7nYRm7eoIn00Wand0koJjxkaeHkB39uh+iF
zT/aAaStN3MgKmKyBsKvojhE7KoiO0SbHBtsTE3iHYKsHx8MtKcBj73Q8iDzCMyA1PaQSOsthF11
hdItwUjWjQ9AEZDnesRXSaRbu3nuZvA1Jv+Y+snOs3Lz4xhNdPaEXSjHOCXucvBjIy0S+UwacnQZ
1cU5Hrr205KUeVE0Ab02aMI8vMIPBSD1R1IVPaSv1C7dKatrnXxqvao3UQmBRToZtZgtTI52imEV
4Vo9blOB8JAZKeTG67CTI6fZBVE/ubgMPod1zqYepumIu9ZgEiZDWGDNbONRTBntr62cYNpV1Brm
CHvMNXv7c4BdsN4tcbToCJIAPy0YIbe4qE3EgrtMceTamG4ByB0JFWngbs8ZNG5iTlvl2HIQ8QaU
5+uFeK5PppgnmNBo3Q1f5uuixvYbo1X8Ff/v/RiQ0tmlsLcooBcHx5vC+rvxZg/5nQZvkh5CJfNm
UyhwZJ9mZ+7bR+zqJBM4heQ0oko3x0tIouavxPZvndvvW628A9yNxKAwA7F5F+9GEmNMx3q2uujg
TjJAFVa2ERpKKULrLIw2jjhshtUefH0M5LkK5xJkTxueo7IT94HZi7Oj4HP/YibzN5cFBxyjEo7t
GOLea3dKuw8hMTnRAXs/h/SJpz8jJ9JwOZEhRQEnxsmnL2YORwYKy184Qd6Gyu+uCS/vLf/jCC7e
K+hL7Wd9OcxcE51TCqWi1hVPnDooUr4QJlZEctpjgFTXD42jWI7fJT1S0EpOXVnXjqfhEa3MrIvi
Q7dU0FUdlelrG7rUMKXNRvtd3+jm6zv7F7HONwrgXvu///M3X6K7zFUXgqQJPOT99RpklBi2EeTk
fw6YY6WeetrbHhIF8r+kW69LCPBbb2rrp8LJ9F3d0auoY2r5RE3NXVHWv3A6/CVKRQpmvbRbabn6
mGffDwwMtzbmnnMDgLrF5OoZ3nTX0ZJ6aGnxoNw1lvIXNnL74gDGPFYD9UU5EoO8Fw2P5DXYnaUG
48r+/FL9ZRC9vDEGcBK0DGYqprQ/Tnv8wayaoqnjQ+VhX+CoSe3VM/kcG5+hRmK35YeKTC7nqBXH
1g0TmTY7DY413PXOIEHuIKt5ME1Ntey8nYsFbJH9G242cmaO70mEHiYP1XKGX3o9pTS5sw1CnDia
+s1ERBeNwZevRWlSQDrpia1gE9LVBE16CQ8AEkg7lnPcE91+1tbMKDdbgTunAvr55VisrT9MWrgc
+BocQoXhLXkMwX68HBA5YJ0OvrG3Y5c90FJzGZ+Cfil1yol3z8YvL8kVHowPpTXTPJmKmLelk37+
MEmPqxXZgurEnRnaEr3CL7lY/J2gDx0R801JaVsLuHRsEMhd9mMfJQcV0QFbo1Abom1EYuRh1gWv
7lqwqzdephdtNwXBy9uH/W8n+hedaAQfrPJ/bkRjeVXN04v6vgX99Wf+7WhGsklzmfqczrRNl/ff
Kk/imHA0s0u7PEeIuPP/vwMN2JT73uZWEzxd8ELTN/4GNvWwNDOdDtD0uCiqyXT6D7Seb/vxd/s1
c3vm6YtHGrsT1K73i9gs4soMjdm4CBhkccRgkhno/rEZpFM2JzqSflKvMvxfMfLmtvMS99KWeTEC
e5A8nxfdvHaq6ORIIintq/JPE7FBiNxiKkaGjVG2/+qaJencTRKSLMaBeKOZfxv2h7Ceea2PJojo
GghG1Bf9FF+KoXAXaeAY+AZOaIOcvAFgSnHCYclJg3wINICIq8LB/IyjI+zWyuvgiXxI65mR+Ra8
0ejfBvHUx/KadL3t2EmHxlIRWJBt3J6zOxkVzWxoQDvkIHAQUnXw5xHlv3fNL+4anvuCufM/3zYf
VP8P85s/f/Tb/Cb4zeWPQnD91bzLbfBtfGP/huMUQQgPSZ5Kyw3ybXpDVBoPJ1woNt2jr7fVt3tn
uRdx8XPneFh/F17wf3DvQBJ+/wTwXdM1oQ4EvA/Bif3HJ0APSrZs0gSKyOCLcSsx2KAixYyyj0sU
G9hBHYJxojS4lVApaBIQAncePYbYQx4HgKXsngZbmNifvDbWNyBMyw9D64VfpIN3tuKgVFHgze6h
apaTj8TPfIFtA/FDVqppDRTEKzadMWEOg5Yv7Ut0WlBRhULvlwP6OfVzndfbWiYRQZ5ao9LJAMlO
m3lIicQtejpMPla6XWa0zjVsnekmi0OHhOhpMLZmbdinJtQlaR6eW6Ybw47x0kDyh8KptHdFvlqI
Jd6i290Xtn0a58A+MvU2y+2U1wNwdt4UfNiw+4NXgVLWOKUU67AvEWMHVQ1F0/dy/bU5P4VIz9YZ
+qeMpIYRHS3kb39LxV68JnzhB5cjIA5bl24wSKLwZSZdg62JnsGnaqZ0xP8ywQqrXMhWI65jmQGA
Cxeq39iT11a1gbruwBzri6meInfjUHuBRIl93D2AekS4NkUNKoWws+CWpEW9rRn+0xYQIdH2pp2E
E0LDySdveK6+iCgIbsKcI9CKWbwpNoTROyWGnVHt/KCAvzzDo6mK6poUUHnjtjHxJSkohkPL9dsN
qpaXpJwDhYnjpfaV1m6KB2ZliVuqDzSegluDDhwqMxKipQ7cQyFooqMRoNerCEyiv2CfjJzG+dT7
6jpras4Zs0PqkOen4uS040hOc9Y7aCsstz3MRtHxmYW9g/JV/z6iP/jcMLD7VJmkbhAsXiPqcyFY
vwijCLbMX0HyBqOWt1NFt0ajqviAxiC6JYKTkkJODRphd7C/IMBuOXPkhkt3IzbGJ8Klg3UG7f+y
qmw/2vXa5PkwpWVywFLTzUc8yojhkrA3Li0q9ZGxhF/QzaWMpnECobY7xi54BjAyhBH5WB6yy9ie
aO0FhrBXAmXvx1Jo5yr+WsTabxVt8LW89d5q3QirHYWv8WcZ/FYT67f6uF5KZeOtasYpSAUN9I9q
GtzHUlovj8tdhB+dkjtEidydurdaPH+ry62qpSJ3+Qv43VK6+2FkfNBjg8Q5CwkpIdAvWUr9mJo/
XIp/QDb0AdKvTQHra4sgKky/3PhL68C1zYTpEN0Fc2kshEuLAQZHjOXJxIM1R+ND0lkE18tYXTFK
qbctfYp0aVgkeUXvAu4QsWAZa+jB8/AYHri9DdLtaXmoBg7lqucsWK3NpSmSLO0Rb2mUoLFp6ZmU
vAeSERJ6KUNv9RvdTYuF0EyPqkcTr2V5p2Yi8tI2PKYYvtcyUNNpTEh89ack3zodYe21wjBhOMaL
O7PT5GGzrkOC8QLsUDqxwLhVnX9m8vKBiV+0AQK5h7PtPohmIWL3fY8WqVfXY2DeAQqysHQgZTRa
2l+RUy8TMaJHA+qNHdX1uk3d8sIsq/aPVPtnc7bCzxiJx8M01vmH0kOclA6qXWtsZSsnb4cbwoUI
kFnqiTGJ9d4B/JHUAY43x+zWcdzmOy0y2ukGPyXQc66TplEVXbT5swp9pO65fz1XzRUBceG6smAs
YqFs9nVYNrsU4O5V04TjtdcCZUta9btkt92TBRtsk1CHO2qVdF2GbrsmMKM+YKlkFDAMxill4H1B
0ipzXj/6ohKr3UQC5Vrm0yu1ZE+uWKeaT2NajweziLqP6HU7FsZo7KNmeu0bj/S7BdGJFZGxGGET
X+zMNbA9LmN+L3UK6AKoxI44jcfsYBeOe1Eyk95J2VBRVhEzGABUzikI/4+9M1uO29i27a+cH4AD
SPSvKFTLvhXJFwRFieibBJDovv4OUPI9kuxthe993U/bEds0qlBAZq615hyT0mPSNPdGNYm/Txe2
pqzEWNfbVslT4Swu4cqyWpPU1nApT6b9rd/J6NGXNq+sXUZb9t7kErkAxuGaGL1gmdL8qaHVuDMU
YsgoFd6uZGS0rxf4rc0Y6Z/8NtZQNiBgqMdqucSjVp/NcmwPpVl6Nyb/x0VH9CT8h/jRpYzSN4ZP
jz8mGe+yFTT/AuLFcuNkT1l87uelR9BTRale9CnElxwOBrMGJ11CayzJx+uZEwzCMC/NlbZI52Nq
AcZSehKU7O1dKLQnrcXO2TaxCqSmtMe+wZzJE1fJMFVjc6ab7a1DotENZg390szyKvR67rQqeAws
IO4TnLZpNd0IurLB0FnaEUxV9tXEBfWVVjSlGfMohnB9NBIsTpvjVCFzNXHwSTt07NR4qBM13CZ+
7n2ZPBVvyWjyzmUkXjRfvadQlZ4c4UyBNlf6prPsh8qyNRrfHWRqM1+N/7T7lllGD3Fr7RHIvxCY
+OYJae+X2iKRNII4b6bz0zzMfoi1WYSu277KEqP0YOpH2PU5RnrRfI0jF9dhptXQbM3sMAgsVRux
zGTOweO6LmhWbvNuzG8qw7msYsyoSLTVtuyFTmB7PKT9ZkzaEVqHUS6X8dxHW+KYvqgsucdGwlGK
8wVqWsjd5kD7lmFtiDtMyIAwYRqgtlwPM6TW96jyCLjTzC1m9vRV5Pm9Jhz8T6PUXxLhUgqnnvu1
NdpbNRjvEeoxwjfpYGvuc8WwLJQ24+Ip192TPxNE1OgKqqYpn+sYLRfU+NMIyI+1s2m2A2l+oRcP
5iGb5vJoDs0RLjkTF8d4SMc5Py945gnHc4yd0XZIRbOeDG8922M0b051P91ZS9LtSICmrBjwsSbZ
8oWpj7XpTVXfYbsYNmm3cK+j0pzRwxIPa2PjYe7VlbtJ1eSYad5bBKKfkVP0rEvbvEI2RPvUs2+k
0fNc2W+lKI0jWgKMUknanDXklZ0pKb665Qgi30Afk5ORrfhISGM6IrcaWO6dRRZaKoGzD56T7Dmx
uLewRGPoVSNxeJwer0TlRrhN61PLj06UOPNZ/TKZAdrRN+ERxYEVzskkQkCcxqXZZA8EPTi44hK1
b0aCnAJXVMRiJYoUB6R87sBgh2CzwGJLP9dk58AzXx575tHrYZOc8Kva7Un/Hf0zoLrvdhofMEAB
Xtb0q2jsrpZijWTtQR92bpA15Qu+tipYuul+7NR1Y/RXUOMuOK3R7HIWlNI9I6eZXC3OgCregJGC
EQo+YQhtE2JXMLmWfV5lHomSpazo7rWBmF2gGcxGlmvRVvl/2eZQ/dN+/k3hJzCoUCT958KPyQn7
QZv+2C/5/kffSz6PpsgqKXdXtd5a1n0v+Hz7DxZEKL0/+WH1P1AK0oyEL2Ku/WYu/met5/wBBlpQ
Oxq4E1Zm3L+q9VY54I/dPgTurqAVAxDKW8Hrv/KVWsMhbIxx8Gmx9UkGRRE7yKetDFEe5GyLage/
36WGQeY2bebqchl99AQeSVabylfZ1mAwdpeR+TtvWzHlV0xiGa46WpUFPoPTiQrx1FcKSsqQMlWz
PVIagjryLWqUfMR2mdjJGbG/9bke+4YLyKI4b5I2v3Zr09uT05fsIzdy9zhGrR5HiBatAEhnv6RJ
e8zpNgNOmqNwWbpE25hq7luGz57gGCKcTyk2USKXS5HRfIzijcletM80rI3k0UW3uDwsvLTaOB2V
/jnPl/rVzQvvYsnN6MOgAlB7VTGNA/miqJycqzGaPOo0UPA6BJFaPxJiY4E7EdobnWr57japf2Vm
FcKBqGy/xpOIJJC7xrhOk0bte5MN1+qs8cTMm0k3OalzuTEzgXwBJgU5ZQtm4sZkajrHzmWsV/FZ
RxX4Vjkx3kZox+ISunF1nFP5NPiTvM1G4eAK8IaHpOn7O2QDU4lIaGk/W5EbP7VanuMstq05cBxk
PcFS+ejhvepY6LmLSEdPW4oSH6a7EAb7JoZlFGbW+IldWXCnq+JzAcr0AMOnR1Cepm+LrorzVG+v
tCW2T3nbk6EWLctZExHkCL+h27mTR8QNcbPr+X9WglmliPMnP8XGEHCXFP81AvF2ojOLs9lwo02L
jIEvCpcl6IxIncMj1A6ZrSd7ghbXlHQCWPI+TXJSsRtO02Rz1dvSsTMj1CJbx6bIYaGD/D7lR9la
pHGCGu02ClJMHlChAwpZOCAW8ayTd9oBSS3YqePA9qfxnfpBQeSdqB+DquiWfZMl1XXqoHKw5Oye
x8CxQ5vjPGopr7xoejSLggThmZTlEfYQ8Y4upzHQoY+Ru1C8+Cq2PhO0azVB3tjOStXj32r08rA0
C4qtwbXisIZKe7mUtn8TR3OyGT2CL5Jy2CTzEDqtfZkW/vAGsTc/6i1JY0gTtSQcOrgdFpqaMwa2
TrfL/L568OssetJKJ9ZOhJ5KBOmVa3yR2LEJB9JHdTssCNe2w5wbz71fRBUxn1LdGKqSL+Av8Cc0
o/Gat1i8NsPcz7fd6BbewTJzgDZIyutDKhhR+6U5EdZObZQGKjLMR3PQE0apifVZMaevAoOYg3jj
tktxwGTuvWTg6y5ym4oVTlju38NxxcoyI4goMUpDqggRK9YIwary1Y4T/6GFmcz0tgkd+kIXhnLm
rzbxPJJnwqgrqMhR9ZTFqjPQ3GWA/quiap9718JeAF+pOXoRBuJSG1QZgD/yzxMx9WHTtzdMI9Bf
ytTrt63OeRoovbX1imbZlFgig2VQXThZTRpajLIJeerliSxA92TrHaBFM8kg5XhWRrq1YllDKOFu
NL+B5VFY6a0YNHtfp3o+Uc72EWnObkvzNk/QA1qsqIPQIar7FaT6vds3xTGeTXmJL1EVxBaYq2o/
tbixLohccpol7V+jN0dWtEgdo3iC9UyfuHkZ3Lkhg1vzuoPUfYzGtj53VxZKkLfadhnxdeCfrglO
5jGI/dgPMrSPDP4sa9hpXiJfnHEev0oCRp9nqzIuzC6NMCCMhDKBDMHYu/EjU14lsx9xZhSIhxj2
Difl9j51it7cxXnX4Evxx7PWaYlzh+QbOpV7spq5D4eqKm58Kk+4QSlldc6yWRuW3E96eU8Ro/Zd
O0ZBin+RTG/I3C6HlLna4Ll2tpKcqy+LOUyITsHXhMRalVu9ThAcFLpHsI9uwEU4swpIWf3G4hCe
flo0BkaHmeZUrj95c+7kIkha0+j7J/owXXYVTZEWCD9zrowMvSE4MmqdstBv0ZPE1yyL09718uVI
XNKjbVXVrWQacKuMLgIDlCI8HeFuP5la62GdJtHqRAZ3/uhVjmCRGnmtvLSprhFMldeYyOSui8sV
l5dblz7A6A1oI7HN4KuwbLPlMSSbU5zRvtpJz0WHY3ZleZn5Oh/XyTXEhxzrgg70BK86NHO6QZ1z
Lgkzu1qmXlxAMMfI1GK9vrO81jkSFjXek1zvScaPUfLVpOWPPZ0xw77XZH0+oze99OumuVt4xsmz
LPS3JpXLcZxbez/1lJ0TI4qXnNZfjdFIA69mFOhriCQOJqNXMG0itSXgivVIpcZyBg/bPdLtqzfl
mF1LpgyBDZrxKiLuw2KRzaPbcYmOtZOJCwjOcb2pFgvYtqfqawAv2Hq4n/dtPRnnfra0B5YLd5/J
Fn99PgzmVojRvin8JfkS9Va66shGLWjl1HAdvZ8hMLvzDbpQPGaz7x8HRMaPHO7L64HsnwPvE4zX
StUthlHXh2E9UrJROc562GdVMiJO9+XNaOplig/JhLqM/XPLhFM/ZLKwrlReRhcLuuhjx8ZIM0GM
lxgS3vSaRheUDVEHRNTKp1QVyYsOjOLY1SCcKjPRaJIMLDU8fiuAgHAme1XBuLt0yPLryK/HlwZu
M2Yhw3kWFHfoG8le75N10USVCsx7GUd72batEPVdNftPqahWqWmCd+JMdlIZG51mQrIZytF/Tpnr
3IHm7OS1g/6xO9CNRuO5OE5ub0qUCfq5cPqUfcw3Kp2k5p6qCq6Qz52vKXjvWhmHE0qHeWcmjrtD
2+1uEsD3EZaiEea5qDOoQUVXEqOmJRhfTZs6FRso+C2R6/a2HZc2BjALT2px8IBO09Dv6zhPdXXi
kRX43UDqO1r3Ss/smbPv9CnPteotGybx6PfKvacabE7YEO5l5c7b0pTl0ZVds3HVUG7cerp1CjLT
IvVupclr1jvPLlPizwzeOUFYLWLGzlbPkMKyg+N6xbU0iu1oldo5Pw6C9rbBQZD38t1cbMyrfSOZ
lY/S9EBrq7Q4tPXc35hgveeNgvIrg6b14/jec7CPIyBfbpKF8w6q8dEutW/CjP/Ozn5TQuES/cfR
WZh2fZu+9f9Tv/8P02dVfk5/MkB9+/s/52cMi3XfofjxnHX2/EM95bp/wNfm5dUZk30Mmf93gkYe
lG8x6AVC8sER/cH/5BE9BX2T//Obo+pfxWp+SFl+mD4TNrDOz0xmcUyjHHP95j8iKmajIuFynvRD
zuJaxu9FrF1NM9siwzESdA5lqp86JMQg458MAO+Z2f3G4/hLapD98RFMh9G8yXeGYPGLiqO2Hafx
PBimNWc8SAd3qQFlhCZLEwipj2Gm6QVrVXTRkLC5d8ETbEfxbA2gGJOwQlt8oS9agPIOAyReb9e4
lCtzwbIHyhBmZgPDE715syg30poMR0YcWv6Swftc/3HmRAP05qFb6n3K1KjTtrPtH6y65wWOc3Y2
HDM09vS+VgEOBtMM9VxtZrN6nD34RTwNB1AGAfwiPBHmWaxGgp2y5cYin4ahDEuup7EpcjLDTNLh
yjq3NHWzkMiDb+VrV2PV9vsbx382THInY3L7wP9tWR0DcMsbixWvlD5GMkL7as4sU7lpVX47adE9
zem1EchRpG9emF/p+7RQ13HnguKoPi/YcilwNxJ+095Z+CAjPldywau3crJ0QlE5Ts36+FZxxo8d
1Z3TsQLrpENecjouRhRmbl7FZRZ/0+38d2H5zcIiTGdVKP7n3sw3U2X4mtf9TyvK9z/8vqT4mCPp
zKzyL7iuljBApXxv0Ri6xXzdARkGC4KlZSWafR/KW3R1dN0hm5xeDe/8qnX53qiBw806g/eRP/vW
xPk3jRrL/RnVgpIGBQgSHEG7BroHkpuf1xQA2Q3DA1ecLzqgwWWfdmsPOqyFHpRzd6H1Fq6pEk8+
DVE7o2mMYf0ZI5gDiDA1Dt3QaOcRn307S63cxbOs2WiX7qKOAZO0pjp5EnSmVfjOWa0q7U5W7Mf4
H7UzCB4ImK3SuYPmMD1kuIwBktWZtjcaWQdll8mN0xF/wn/P2Am29Srwh8jkdOdTVfA3QWLHuIuT
C8cs2xMBoFTsMroZF3k1YeR3uY+BRZfkwBmAEbrj5Ru3cE6GFYXY6/wwieUXhecwVFnTbWBRZJvW
rOYL2Px0Z3pIRIP+lmgEV8qC1xyVMAArnEN71C/I6GKx1yq7+uTPQ8akcY1LLaxtMbVXbU7/H+Fh
/4p/GlufW+KqoehktuRw/dLoAu6UhbwdCDh01fQWKG2Nf9pY8AMKMnjrGa9g0wwHQGZX7UytJLt8
2ZYyJb2Tow/N4oZWP+kQWBU1OxjRASEzKLoTxoKLxGCai8T6dmVJbnv6XD7JLw1BQUFUCOpan1RA
C1dEKCIdSWFmbOxkfrT7gbjOfv0STQ6VS5kRzXdaxK2tOdvCU5/Lzg/NaSpPTWWkZw0m+o0ppm29
uDuNEeuOqWYV0kdjiUdHGjAkP/iRf+pBm268XDRBukTa42zilcEdYTMNa1hq1TTthEVtSf7zfBQI
cu8pvJdjZ3gDc5eRKmgybBo7GhL4SbfCyrdJUvPi/aQcKnCELVvfyF6aqbHOpOYd8ceUG2KnZKio
DwMTfX5iKhe4Kr3CotC2eSbv68559KblPBNsAvHgWDutwqFh6EvClKt8XezsJZO9tc+ITad8Gqut
7mfaSQr/q4UBMewH3w55Ju6JXwyckUfCa+Mb+ib1TsUcAtHxAzOLe5w7xrKxukIP4GEdpciMl9la
UJe03RkBg5+ZFk1Aubxmm6XZfLArpAvLUnmBVvAspFUmmQQ31iGBH0cW3zxtMOLJMDfaJ63ryzB3
p4iauSOtqZ7l3vD4BWtwhTuHnOldZGYPLbi7i0pPyp3pfY79Tj9NsSs3NvFh96RaUFgyCbdCt0jT
23JAkFB1BOeippj3tB7be72avBD8IpGQQMdD8mcuOHcVO4+KfEvCsrMDWluGNg3mbTXRAuuFptPs
apetvuTlllZJQr8wF2HSm9kan+ccDWZ/G3C6A9Oa+NjbgzhDoABuAn/pA4N47qJHwJ/AqbNxYh+4
6MjQSrfXMYad6Q+0SPWg1wxY0oNcdn3SuFAKFky/S17d5Zo5X8Or0E8Gzh6b/dlhZDxqebLlBAPP
uy8BpRRVTmhuB9bXadW5q4GBwtYCOiEt9nXuXOJj+pwOTrKh91ocB+mCFPYGLXQX7meDKffgJgXY
NFN/Z5jshcQp2aeGGp1ZWH9HrscRebdz8ihU1wJjnYrK7Yila5vQZg2WsXBCy6LIE9J/U31xm+LO
xugKBbICWpOlBrIA7WtpLfOuaAFm9e55OvLvd9CiR2derTZVtXNjrd2ULY2UOULRmriEI9FVfZV1
jCzEW+66WkwHd008KoAeoRNU/YY5wLwVKaPNtpI8UrHTXszC3alSvPrS5DyUEng7lB2pjiKJN1Aj
t4pwJp1XbT9Z8uvQ4TZzFzoCdpuZe70wjFPkFfkuK8SwzWc8uwCbm3D0S++QmPpVXYgXx+nOs9jK
jp09PXojEys3dfoN8AyHbnla3fv+8AldxBg2jfvVSdDlDNE6JI2Le2GoM9fqgZx74pTWbUl7tC6w
KMN+0tvrIomqMDITbxNJ+d62inQjZIxoi1S9tyyVhpE9Z1s59sU5pup2b02tF9hm5B+KrEJKk7wg
HfLvYV0e4MEbZ4uzotXFLHe9V2BX8rhitSz3+B7T647jZmawCXG6gyQ+ItXKjbjYtSDyAr2071Zj
d+iA+mdY3x3jVqIDG0xofXg013mdHialdJ6LfHoaI6UO7ux+qZXAKR4XyU6JHm5JNWk7HND4hMrB
v+qL4RqOJioSy1o/+HjRyC7a9DZEspK5Q7aA6nPS3SRTEI6OVRyNRPuk/CZjTj99MdNGsBYqdfSG
pWWtSeF6RhEqmGlKTwlmzn2sscrRNF7Zwl7JiViYyBxMexfjnNoJZggbOprGPnazT+OQ2sdF8+7n
vgPoK8EoaPG7qTXuqaiKaHVNoStpGALbtettDavUT17DmLi22MkXVtUdHT8INd68mNVnIMJV/2Cl
fdTlPLOa9CuUKsTJNBv6Sl49PvZYDlxeRel0WRFInr7Su4rs1h/R5YHsXl+yOivtzmQ+WqcD0dQN
yXwPpsIK4dCxn1skElu7q1m9IUEtTGNzSJyRfWtapeu0z/UwVUt1as2hc/1NViMGtgMA76mWwJtv
UAi133BH/z1e/+54zWkSct9/Pl5fvHbd61uiuq993/00//z2l9/P147/B+QxhpZ/yrs5s38/XxNm
swpebRuukwNty0RL/uf5WvzBT2daHn+GxNVb3VB/nq8Ngp/Rn3Pm/rPQ/zei15/HoPyncWD7DEAN
kj8Qn/9yuiYFz9HyRmsOXlq8JzW4ec0jX43Ip9/B5Rj1/jhw/bgSlhywQ+tp/i/n+IJ9wFomgysJ
6GCl3rw0iF6DMUrUb5wcf3clruGDPKZ+BxL+c8UQ9xo+wSZvDsi8FPJU/aobUFA5cnn84Qf/G7PR
31xozRVhiszldK7184UGtzA4py4NJ+T8PS/yd2zh7xn/+/9ymbX4cfnF//Ib4XVkyEtG6iHS8Jmj
zGIyREQPpFQYSf/+UngULDwE+BeYxP/8jWKGdVad8I0Gxrjnkw6XKQICc97i2frnK63/pR9bRTx4
WMqg8vE7ge35lc3nDuSOotpsDmygzM3VfDvH0yNKlscPA9Q/X+yXYf/67NEwcxyaomLNLfnla2mG
XWO9qJuDLzuIXx0hoZmHAqjW0ld95RGnVosQdcZ38M8X/rsnxIHdhrYHZxF5ej/fT3YPBZKkarC9
pfWdwjXP7FXLoWnwT/98qfVh+8sNhYrEqgBDlbf650stKlNzWpfNQVO4iErVkEgh8KT+81X+9gv9
cBWWrB87fB4DxUEDHXLQ/Mk+E+30SG++On1YNv7/rvTLrSPbMamHiislhZpDZ8peF4SfGKt++3r9
hdrEp6ajisvRd+kZMvr8+UshWbC9sm7KQzOIOmz0la+LznW6Xlb9tR/pdWj4rbGTRIMddIY8YVaY
/hb+f3UaKCEdymH4Fd5Ek6ytq/HNTYCFfmBj6NfCA3Xz95m+xDFejOGiceGLtpzNgRr50M2ZkFO1
JwwldfJhqXOgurqTLG8w+ItPuQvx246y6GUoyS4dS/DYjNtzyBeVvx8znmeqKwfyMeHSZZCvddAg
AZf0PdAAlRfVthdudcf03joBYB3fJGPSvdE7fHbH4CqZVZ+NXjeQDeN6SQ1JvdA/U1lpSNz4PBpt
i9cy4kvndAZ3tR83oJyWGjO3hcQcIhSqNEMV/kSdiyyUUPJmJ/Vo2iKw8cC0QNwrdb7dByGvzNx+
4/aV2EQui0sSp5gxHbaAyp1gziWY4jcDXdCThW5mDyqlPjNoloYejYU9tHqNBokuPsXJYJ9NMSV1
7NUFcL0cb2wHdEk6pfgU8d1XApCBPrW01MJnGjALJW4DJ840Z971idRC3OsWgcjdSN6DR+bqDfbM
/iXi1pwlmWyuHJW963A4NipzxKfSS9+nbozuoHrWWPHXT484ahXcEJHWoitZdRV+kVxnKQ7PbELK
z4oOpHko0z2pMjR4bAJPgwIF5imNMf0GFg7Ay9hs/KvMgU/vaL5xadQZN1EVNtJhbSR77OOxL7rY
Oi165J0nDreMkRNfE1kioevJTE+3ie+9RfCVYjfNX/xlZX5JsJrE2uAjLPqhJu5xWYXGacVgHpXB
0PiIWKPhKYka3MTCGLAqIvld7d961Z5rdbp88ugf3U9VXr5jYCWdNgerX/WsnCR0ygPpVf5jLRy4
L1XN8wOBx4bXSa+cmJgkGSiQJzyTLXDbwPcJjwoQ9uV2MAkkywHtJ21D2AdGWMCHYbNGKeOYZItb
Zt9DM9QMKrCLsUkeeya8wx75TvZKypa289cUesetqeNTfyj2HYyK27H1h6eF2noPkqcvdqPWinQH
fJQR45KhpYSaEo8qcKbc+Lz4TfdFAE06WtoKyypGu3sY0Ck8xxnqancuWEOhByHuJdrg5Oh09ZEf
p1DKcn4JO4nzFwnR7DRFcbVtJxC+UCDehQfXEBi3eeKDIC6NyznUUFyPlFJOchkzfd+qGDhppvEL
KZOtT5msaonXkjyX+NFdNtCQDxNwHV+rBntJlTsrzydxlnNwV09NNw97fAertZkAakQbXvXB8+8i
jH1S61ETG8UeRfbXXrVEN3fTXSXFoa+Hz4AvwOwyyN+qqHEYsHruTaI4TRjMSLer1uBi6Ft/zahq
dhYGwkCgpf7kGaRnwqTelQsC1niZmp5ReE4RhGwD9Epf8FCzKoIFKJo5rAA+XJkcKndS463PCfYJ
h4EoKbgj83ZpWd3KsR9oArHvNhbfW5TZK6AfsujHzH4tpm7VjK9ouxg1fGZF5mlSPFHgRiIGE7Ss
9DU3Yaj4+naHRwkXoKT2hCH61mktsWNxx5qTWLl3YzjQpi29eLVtFsq2Zf3AULF6fghgFngWQiws
ALxsU3k3+HDac2NUrGQfJy3lt3Jf6KDiSdhiEROqDhGT1CRNA5pLO49oU8MY3xK7OjaIcoK1b8UT
TEBPmxZXJhkSu2Q0PX4EfEOdXM/VNdL4gkhTVnIJdSsoDQubAHcHnNsYlo4yth+r7pikz33uGV/1
kdWKqrzY2GAbLkkUwkRkY/oYcAywxnGSCDStty+z2N51VoYmvW7FxjZXWkCPq2xYnPoBQo1PRg/t
h0knht3SOoQB/MIZExowUjG7wf0A5mlDdlR1ihZV3nSKtUeLWT1Gn5c+H0ruuV+rnZnZgD2rIUV/
L/TPvqH6M7RAnEdrdeXlXXGgNYfcEJrXvvRjVO1temWm5vCEfae7mqekv4iy5VOqm+MnL5+Bvs4Y
GOg32ofFJ5q7wm5z1WBGuy7yZ1citk/N5J0sTCTGffrA+/zYDnp8EB4B1klcyg2suObKmjtRsC3S
dHUQVNlM2ITLpveB8dLSpHiUFStvCxH8US894z7VERZuFn7S5tsiS2YFSnJ+gx2117jO+Vcdh1Uh
DysmdSiFbbX7KvEDYSQNhGNCcGlVIx0FiUaRJ3lEMr/cGLHOHB5Zu4/VhZK/grbVhjM9wDagQUFy
uhnLXodUNcoyaErx0CEFPzGoL08IqRmZ1Z6SJ7PoCCIzylmQ/SQnEkjO5m+5PwStgzV2wPNGt1KM
6cgQMUu0vZUOZXJCR4OkCHR1NHgna1DkF+AdQASLs8BvFbovv3XfuzkjuNQb8vIrWj0IjGmMwQ1m
jbHBJAYS15S2vpXdxLo+e24+p5seJu515dBibDNL+WpDsyLb9qhWLdhLCo8va0/34gGLwb87FXek
BE4AGA0UmOvh2lrJc8RMVGtCS9rony1PHZosw9wym2jjbC3ZiTWbgoVjuGHIqV0YIOPoY7slTgkL
kxnvqUBGmzF0UYWHjF4Sj45W8jXHYbZ1R5FvhV57Ye1K4wkLw3Sp2KNxBMWkKVWWUDClC3O55HWN
3+LCNRSOQyTuhTvRTik07ZhOaIXpVxL/F8B7Y9GPOZ1QLaGYHS1ojrT9kvYAdAZznzfbw/6fj71/
maEzZ9Op/XVU00BIcN7+fBjtliW2VKcXB8kGGjpiHEDXK91d5R2schwtL2dTw6klFs4Vud/CBmwF
eVdmGQMl839XqP2KRfj4PHQISCqw12L3lyLXjWEMApVDPVIaj4qksxZvYjC6xKoU6jaa2eb++Q78
pTLE94pFnisZnMf9X5XZnTXYJU7B4jBIDmFVBNnbqNiOoZ9/hNDXx3++nvGXmma9oLuGniKFME3v
l8qpajngENdRsKBItFesEjWqjWpowqwtX0nN85mLJ5wHbW+8/th2RgZ+zj4R5MUkkAE3UQ5pr17k
sJ+6P6nB/xE4bv7d50OHjz/adXU6Sb+UJ82Ke/EslR+SsrROaujK99qUvFMjKka9BLLMYbsoCl6k
JIPINjicNQ2MMFeNwUE75UtwlKlOuIe8cBZUnnBfgU4wObPPLJGC1Wiz9jx3oHX0w8o67QG0H2Ki
c/YmrdoaaWcZ3RGvar0yycL4TO7OsMe86d7MkcEGHBHQ/ainafbysSvCxAJpOy45fObf/Fbrb/FT
lctvZXOiZPjsgGv5NeoBPUSUsXvlh94BsGlrKB56XGMbeNxPMnW1g8axMfCyROzou9qbuO1/lyrw
l09AeIcnbD7IOkn/lVPUz87oNHAyDz719t7W4vqMueXvloG/dCx89CuwPx0ACAKgzS+/uUoVKaNM
eQ5EjJoEALJwVQ1jCGZ71BlOXiOizygekpxD7z/fY/HXe8wRZc3MBVZhrH78n1cgJI3W0BZjcsB0
TAA1aDH/XIsi/6VUHI3J+7TnK18D0VpZ82Puz/Jda2ymuMTaEutHQmm6rrdIAhFLeuY27huOkxYU
K87f/jlhgt0XYnSi/qhFHYXrx6f/b7/6N/1qk62CheM/96vvv06v3Y996u9/8acOZG1Gr904A9mj
S+v5f/vUrMZ/0LIVLrZiQCUfzejvfWrQ2pbPS4C7x+L1J77n//aphf2HR2+bzh772Tf1yL/oUxvW
h9Djh1cfkDQBjshBBAQJMBFiFYr8AAjD2qaRx4j3ZJSi/TRolotueH7zJlFcLoYmt4mGbGEiR+TW
Hb0LsEnDkzNk8q6pUXXgJjgp6ig8PO5yYdVKO86R6UT7oc6SazwB2qty3Zrpaq1T2XoRUyw693F3
Xbn2bN5YVpqLMiA113CPi9F64pJVUK8fOliIiiMMLhpzjyqhaS68pgV1uSErdJmYvPlDXyJ0j/LM
AjgX6/gxG+Ct8qHwgHWCWoLvapyYtzoikCLy+62b6Fa3SwpLNKeejN6CcW2Ve7pO6TwD3E1JaDBO
bj2LR2uOO4lLtzZqZNjsBN7eE+5sH1Va28TKcnBzs/to1jSFgs3NBxkmcKdesyryvsQsovDJBQwD
uW2TWh8AxsHK0++mpc0a/P9gjPaI+cQZaPXVWUKg8lmUGZhPxx7H3W7Qs2zYLjWBRiH52gcyoZvn
qUp73DiV2R+ocz3myZ79zOpgBbDoEiqn9C4uioYfS2UXEq/hAYnDY1anSGf6kbMiZcMBJT2YKFnG
yad0SpHVz0N6dL3porbas2RU6hPK84oJeXdtllOC3GXwGWDGzls/RSNl+/gMpREnv/TplNN7m/JH
9LqrtsTITugkP8dMaLdmlKu7xVPExoJU2IMygCxbIXp2m3HfuYm780S1R0CJnSR9dArxDsO+P1tY
BgOW4sslkWjqVP9cl92pHOrqgGGnCcFnhRMS9KCbKbWbtcXXEoRHtVIHucgfG5iiocKguc3L4Sst
HeeidJboevRrJ+j0SaO8XyNNELjkGCH31mBxiiUsV2SmQz09TJsYxjueyyE5x1LRXng9ybSubelH
t07TXTUtdqC0ONks0No+4wgb9uVgp5+xREynCXrItpH2/2HvTJrjRrIt/Vfaeo9n7pix6E0EYuIQ
ZJAUKWoDo0QJM+CYHfj170NkVXelqjqrX69fplmaTGlkDADcr997zneMp1jNNhPE+GdkRfWDY/TP
2GzpGZRzcYCkyuklVenahQAHnwp3Y9Ur8w1jw773HfvEupDsEXAHe2wAGEwTIziM7vSzduBVwpyg
A8XasSHVI6220Du+19bq3nYQgkODi2GglF0I6g/hetWDjlwMdDNiLHaYMICUm/pFOhV5vAU98yI6
ITqhsdUR9+H0xpszR2Jj5Tq7SRqCJA1FrqE1OO23YfGwuZKGkk92vunGBhEO2Ir8DunIcOu6PU88
8+MmBORq/Ko5/XLGZojgIPzwRRy22YgNdSan7ojwe3jCSjV5z4Wdq0f0cGUFqYj8QIb87h5vur9b
nXoQB4ohe+ncsuc8Kpf4kGa1SbJJ3JYIPHtejRsLGB5BKj+GorG2IhrHRxLd5HbkcE33YCzkxtd6
/mxohoFi9ez5ZuhTsKQ9Hpbg0HNr6a0xu0JvG94tTeBu6n9JyOY0/qYIRI0ehuTXnHX4fvwpaJhv
i0ZNZyaQ3XvncLfgFrGJGeawJm6TKihJx/TVNmkM8yBMjopNTrjGnOHeSmpWCU0HuBbY+x1s/FgM
QDoBCbV2UbAUB6zNWOn85auWYJ+9VOlzkRkfPFJv5pIKjEo5drUG6IbR2OdMkKncFmZ2WxnpZ9T5
bZiaKn0t26yoN65y0nuznUcck8NihQsitEdYM1+awsx92ocW/BEin29k0BPKZ413I7ibJ0JPjefc
7rwPs3TSkAZbs13KoM3g9Sc8xpM2zV0E3XoPn0Hcu9FcIzfrATT0fX8uOvrd/J5qXxtiPrTrU7s6
KuDVwjiOGuDbBs4hnGwj4g2yTNK5O05SILaPiDBhL1mgjlKoYbCY3zk3OITzlcGP1uwunraTadPl
1ni0/B4yf4ZiWAhjZ1rjyS4kfXvoLdaml6onC8y2d5nRG7fU5MneHwcZVmJB2VjrdDPHPsAMW7Ie
+PM5nfz8YTHEeD+nGAerefCIwtHYV7qMR8szh11vmwjKAltvxGT62yDDAalke5iNmDgrq78PBlat
xUKeg0WXOxEs7anPbQeVWOtsYjk9DbSTN7kPvae2S0QIQx0cG60PxtwAthZjtK2lFgB/gvLHTMD1
ThgkWw3SMEKF1gLsBFGpG7L3upcgzRDl0ekJG2SWYdc3p8AI6CIY6pduvC9l6tU7orOHvegUEqg5
WOAzk+qYVBqdCdGYN0befIKsuMcZPtxKXRQok1ZABJONBw6SOD80F7YSc7af0l6cFohRR8Pxgk2j
KogIQJy2fgwz1/D5zJDKCvojOetd435bFkAHFfmEuyTvv9HMz28dFXHonKtiE1kTfuA5I729GLtD
l9p4FvP81+AWwV6r5Vus+K05LZWYYF0nuo9qeKFgC1n6aTx9R9w50a/s28coN6NtAnblPNn+yOaO
2NAV8XstnV/AIX7S2ir2hUPBMGr7rWyHZFvmXfNa+PyqpbVRr0DJ+NVCf8eVTwfFZhHdeN2UPJIB
kl0Cs1YnwXD9bszJlp28/NtQRiJkMUXLiNrkjTYbG0ZvPaepS08rhhOTaZ913U2L72ZFUFNJJuZp
QPG6z7DdbavAqPaEF5V3pjTXAn+xmffM37skmvH3uR42Ht7DBDYb5WHjv3bCXB5zC5Efu+kqgUy8
gfD6KafPuxlJ/H7nsc97+CuV/9J4Dj9rCYw5Q3RyiSnZEhIUXwZ0M48Ovcl3RHjPTNcmfBPx2TZr
LD+DH6PwSTJF6zfii8aYZX8BKDRttQMGYO79nb1Eroka1Yu50iOw+6WBGpLCf5fbuDbh5OgKGg7X
mf62rB9GufRHsWiPqZvjf6OzLd4HAcZaRf3DIiwj241jMh4z1VsPTumO8KoyXbGyqn7cIEsln3UM
sHU7DneEKJ+g0ztPE5ZbQRsW8BZtUkVHFn3lr661fHt9UGOuKT2gFdrcugelpMMjU0HL4pAULIyc
OHuGc2w90yrGyd2LO7oX2dcOfcD3Km5uOJ5FC+GRyN6a2PpEm+RAzEnNHzLOIOItAC7zDShOfVKr
QXuT5kk2hNqZ9Q9R+FhQ66F7Xqa2OUUsnvdjYjA0qNzHxa1uI5qQuHXZDvSRwKSM29kdvc8o9spt
YnbeQ9A76RtqYZsxUuqEbTkVOycltUnVaoG70oB/qnurfmotG8ckXrTurHNmI6Ru1c6GKcsAlLr1
UYbC+MK/h/jkAIo+20fehN3aA2WueF+HvnWNQ+aQ3XQgdS19YzXL39jihq/FpMUzGMKIuHgvPQln
ouKNGvemqUZg4ikZjsxwMSu8xiaSVRrUc7nBZNfeEPbHA5GIKd8pzMY3ZoP/Nym1zDfarjDhjrHY
LaJrLz0OxDfhL8OnQ4DZ0e/q4LbOsv6BlmD7pbacNuf5q7M+tBo3zEuHoSPVFalzbV/WGceHDq+i
ZIXdck4agpChk4UwminJuEsznodb5tJlufOjwv0yRf7ifmUmBudm9DU7q4+bmwexRU0JYxVIl02b
6uxaefI+ehMSZoDqz8VSMb7qyM+5LyqdvjPLrvaQxEs7LBddAOeqRJj5WexvOIPj2evKqXxjPBtd
YDKiYCtZXtsyeJ5KamMIOcP3qqzq0Eg8Yob7Jb5tK0rSohobounLsXwhE4zgQuQwh8kvc87zkPrn
sk9C8oqKrTKWAlpaq5z9JKvpAreubbGRY37OyAQjdEgOd2W1DPhbsuo4eDp+NJUVzU++l7X1g44T
7YRBrEXj5lvfcxlqfpbQjObOB6ptmsztKDdTmDpMhJrJfgaj7uYM04e59r22O2ZBUgZk5czjclto
m4lPlwEcb1B9hDaBFhtF1KumdHKtY5+4zpvpr3HAyxSTItLmPIvfaQBFoTCyKL5Lx5HBGrdwm+1M
P57oyDI63ebEBLD69G19N/bIp4YukE+6IeSglI1xWBwX13qPJxlXjTq13JPh0FvpncqYkEbm4P0q
29r+Ieg8Ym9NIUsddKleujyI0ncp4QyWdjABBHLXdNJlASrU+f5P0iLiozuUlOASONu2wVD8umST
2KUuq/MuIO1n35nd8iEorG+ZbODB4Xxce9i28SUPN4vZ9BelUvU10Xb5NE3SuVlUOm3N0laMICW6
WpmUtG1yggJrEVEdNHkHeAe5Yttm9dm2mzK0eI9fOqrIHZCxAJelzHYxex3FeTPvtNn2u6HwTmCZ
xrDm4P7Ux2mwb3Nhfji2to8kVShAGKxMxaqw9/BSHZiJj8zWiLdiRsJIgqbr9L0IjPFQmPaDpZPg
k8H0w8g72bQ9Bn5lmvMRDyRK82GI74iW9jUdcHuC++Y2GDy1s2ughxEBvaza9ixNdlNUEgJTsI1H
KNu/ddT0mzXs4mikaLkNuOLbanKRtvsFwBpDGPPWzixrX0c22trAMx56a5mfFO2xAargvYaPDWev
shg7TkaxK+Yk+akgiNxHUZqy0DYx5DmDZxe3sB4U05QiKbZLS9JQm5O8TczcfEFsG5xHHec7sHru
MYfLujMLeIaiq+ubVMhH3y/xSXcdxrpBxR/Iq7Owws+JR002/jk3mhavNZh+WUT2JisC6/3KFbHA
PsAZTJPy3VDde2N56BZG/2A7GvNJrcZPodlY/VQsp5nsMr6/gbnk6PQDgZBxAX0N8ETmxW6I7evD
CaxkN67ON7PSX8lRuk1imspL84kK9WuXjev9Noh6N/SkfW20Ze3cNWyJLODohkR35yPvdLQpY4Fo
xpol+Q2Vzopda7LnxXAD7jBSV9wtnXeQoDq2Zmund0Uc54/0H4QIB1sP/m5EpHPueurtTIxm2Kzt
H+gb6hQ0TcFQfMTWnfni51RxRMv6bDyWdj+Ek9GYFxAKdARU+6NPdH/jwSfYCD8ny6MewiSZ4Sko
t2EDNoi8RtV8WfIkJhSm+c55jVJsrlYlwJKVp2pQI6TZsZvf4IB1hGFN95ZVRq+UUi+p0TRAIXrv
NnGhiDZ6oXCsk1OE+QcB/GC0YTUO3wLZ3E9ytujcm6+VwZKXjba9Vy5pRxPzmLdES+aFTQuLUvgj
YcCR87KsugSH9vptNSd3qVG994iKUCEmz60rf1mspPtppjqqYlU9J7X5bjGmOFljZX92BC+EIiZ5
Whnlq2bQ+Uup0lhQcftuv6HrQfGt1QBYzS2f/LkXRDDFAEd65aNBQvZCMsE4QvYI5umpwRAE3c6P
ItpO/TTtnY6sW4p/yFZ2oZ1Djv38CZ47KesIMWqXj4fwh1lW0sPE4BlwRY4zqqKUXNJYc9SJQi6V
gqCROeoBjTiFNVZRjI1LnsoNuS4omkafjMndIBJ1NiVx9fyB/5VX/i8zNp/srGbx8NPkBlhFfjM7
bK7Smn5EuRqaQ27kEPTdFR7mMdx2Cn2zpB65L0K+tmxJ20L2pL2Zay9QVdCnAnw5NOhhsjnk70Sp
dA6mQyUcdyZLgqvbcTpmNfL4sUGNtNzg3xRbsgyAsDH8jgIwiUvhNMihvBslx34PK93beblb3CiH
9l8TAGepKPW3VKboouzmro3HCyl1nwLDbDhEswOfs7o0tqpCGjPeqbKhPnhGnxw4u9BABCvzMJn2
Wyrt7raPDCwNYGi2aI6qQyJUTFZHKY8alkrYOkN3qshVpXPR15D5CQQh+/gyGII2XDSl26Sev+Ux
eEizn629l7fkk/TW98gZ5TNSqRwtHojMbTbU00+n88Zn1j4TzI7TbuFBDDdtQzNKyGwrI4N4thal
fGilKaIIkefHwK3u7b7ottFi2UNophPoEY9sbshgIslvGvZHGSw1+TOz+uhkXb+jjLXwEBnL8oOJ
EmgwOefGR+2W7YMnCoA5bHjgD8iRJwyEQZaXc0TyAoZAoU5jKGh2vLPKef5OncWjFWOdwlDmP9ST
BfqgT4YfRur+ghKKDiBIjA4DlR9cFm1H5N54U7VVqZi++NoZHk0zsZdzq/2a4ESvrA90QUvCQxAr
AS4J3L2sU2Jb3DzVoQIP3G6hgao9vgb8+4C5zzJtnXHrsBkc02h8mWPnCxWC84wor97HzdwfeQ5g
vrYdQL3Af518fAEqqcznmJSzLfFnD4THRQz0yFIjp8bfSs+EKFpwSDduJ5Oi5q6AqLlp+jG5pYbo
9R7fTL2Fa+wOxEKx/mxcNAbZIY7ILqZJVJBSQy+MmqZ05abicEN5N9UKT4dbt6+tspvbpvF9fB81
ps/NIOjxzUTUbWfWhXe3hqlwBhsnXkZ+gRv6zbC8DTnuYB7jiKYRDWrMzxVmTWtQmJi4ewgCU1N/
mJoqvVuUUqSe0eDZ9O0QUzHNE/AQsy97tvm1EmKVeSc9xftmtwnBHPmQ9UeFVBG9k24oWhF3Ir4x
4DAR8KGfnUGhrqgEUDviDIXPlTCC1+LKSE3iLA6BTMQ6pKeG6DgfdQ62okx3S6NnEs46Dt7aZIum
BC1VOFrq10R5jb27ucwGZT3CTXGjIBuH6MxwpKRRc9HxaL5lGRV4CAC75LzuyEcUPyTkQE72nzqn
ZT9lLasfi8UY3ww7HW6spKEvs0Zz3rez0b+hwxdn/JDzwVTM5ji8dtalw5r7FKBRAykoo+AWHJL5
nViI/Kbv/PHZNNc0ZA3JCWtJxbK6QctawYLoEpiyTpfxUE6rdm2Y6ApuLIAP2ZkOf89+ErRwqDJp
zs6+dyeHK11mu6hv44zsyO5xiZETbdxZmTuLNtSLWLz4JrNZKqsimX8VqpTvkWSCx05BQBudjpZQ
b9jUmzhLm7fBdWo0eOy6cW2zmXFLhRx20p2Iu+ygkDaSWtOWt22kvdM4iX6Hzze/Y2RddVT2UtzV
ZFt/AWLSY17UpJwAI7a3bos51kp746LyRp1Js/OPZSLjXTcu6sA83N5aKucuMdqpv/eL0vpK95bI
sHpSL4L67q6tm2k/9FT/tDM9ujQG8X9JNkJGifFQMcvYxqor74c++GGMkqODLKOjmzg9Ur5F3pMl
D+gkI4E9bawTOXH+Y6VdDWHGGW9cw8Pd4EZFaPecOgYqxi395vamA7F0b7RefocO+Xvla7kbo1ns
8c1/xHOZbE2bZLnIz2grygjdSdPOr0ZqRXuvlclOmYu1QwXgH5IRK/DYzuaJWEh6NnVega4J/CVM
LC1DRuceGKiaWlYs7Xta2POWo8JynFtNHL0nIS76Xk0fWJJ2GVaOORZP2klSkJBsNpmzMl+Jscnv
DK8JJ4fxDT1WSaVRJ3sJSRd403J28oW/F9Gls/T8MJH7sTHH/DXozK9WzGLtGNUuxYgd0in5CKoW
OFjMwGOakjjsjAItjmfUe5NJ8xF+ycGOs6fFJ3Crth0Hj6RYNnG8PFhJam0wkr6prskeGYLjgDCP
FFb9YVzs8ZuhGYOYlvHVQuCxFwsVsiaC8aBGNmrtDx9lkMG+GZoLYOxi3qAMYmuXqiIOrzAeoAzO
W1ClyamphHmHsP0TNs9wX5tVi0cT6lfKGIxGT2B/7Sdn2MSlvhuV0qe2aN7+e2z9/0KYtFZby1+N
rd8+QKmDna2rP82u//ixv82ukcT8B5pwWoEOjBN6KUyh/84wMO3/wDXzd1jK3+1VK76AvnAg+KG/
Oa/+bq9yiChw5OpKIQyGJBj5X8EX/Fm6g/WITsEfkR+rpIlckD/PrBc0QYPRDQwUxgJccAWb+wJh
CBQ7jOvu2z98Mf/CjvRnzcj1xYgSwVEgAlJsTOc3x0TsaJuo5t6+JMas3q+pxjMW8Nc8pY9G5SwQ
NwvP/gjGrD3+f7w0cCeBiwIv1O8Gm9TIpe7pL1yWNe22AktNPtU8YYrw1gRZclYJGOpEa1rbLlqR
hH/98n+WjK2fHFWAiR8Yxg0X7veXN600rgI8GZeiNFhFfWPsr1GjRKimeCnRo5TAYv/6Nc1ViPd/
9Ah/e1FuFUT80pXeVa/wD3qESiFNi1VgXhyzItsYPf/JZIbb7D2mxa+qp49hpxYvPsih7Q5JP/Sf
rgLGXRgu30PjrtRuL870EdUy2KtlWewPlEccBKi1hbxFNE1rL131/xsyoDDrambq1r+xKP1Z3/fH
x0BlxEDEdMB2/J7w5U8+eAPcqRc5UCUh1yaBoBhIb/JhGrwQy1LfotnvPv/62/ud6rFeMTfg8WCe
ygsHv2mMYK17mXZaecnkSDDUNdvMq5JfItOUWZLIOQcb75kJDiKAaz7xX7/+Pz+YKBox73kubnDk
B789K2MQVHmTa3lx1ziudH1gOOjpx3gk/PavX0r+ixvFkvg1YWHzgv+kWYtm/C6CfLiLnQb6yaCa
z/d/JLRHFoHuOrftj1G469MpEJUqjCsmUQeefry6cP763fyrD44xktUSaylz0t8+uGkjZ8SdIy5D
3/CQ2IQ413fU2mLcpGvC1l+/2r96SAjzW59L/vXgQv15AQSZJMhjG83LNcSXdgW5WXasAV2vcdSM
fm3aErhogKdwl1/jcTGS6xX6LI2Jlh0GIMMl8DpmGBvv6B8SYJAT5YtLB8NBMmKtqOaMp4yylwzX
IAHTuv/rD3EV2/32pHuAIWyBxAon3+8C0ayIo8FHNnLB6gTx8JqPfb1vdF+S1r26Cgp/Yt2b+QJL
jlSkqMK8xpIVNEc1rwH38BGb4rBMC90XGYnu02+Ffvrr9/kvVsFVt4XgyubNOuI3HavBKWB0GRNf
yCrhC7l+zVK16l2uQdVN0f67O9v8/WYCG8RdzZ6LKBNx2O+vWPaxmYl87i6Tsupbpy+dj4imK/+x
UGcOwtKPreXSmycSnohqMUKY3UwMeJ/TIUdnCsum/7QwtT9eg62FwUMAKpOFc70nrl9Rx65BGnuK
r6YbPexW0oJBjuv+ZFIYn8HT1n/Avv+vels+wW8r+yov5TpjCbVN5I+/e1MXYJ8eWXDxBXgD0z01
L6Rge0b20FgFJ/SKaeC0zbyRyY/pGIW7RXcfJfsAN9tqqBCW2M5aBVszAzMhyt7bk6Bo9MfE7UAa
VhIS6gZ+LwM8RFUMwkUyGV9ox8V9KDy8JZspBg+9tQMv6UL4SzwZWTcNO7YAF7buKpewfVVdQHAk
t35XwuUt/fo8ZphZUGG1gmm/WRhfJemND5Jg2h8i7/A4UQfQtyVMU/H+xuRzJuzLvennpArTnv0b
f6BTWtj4MvUI4LYumbQGK/ys7kToeIRhb0bPM9QreORsCq3I8yAvN4nYNBlws01rjs3IATRuOSUQ
1d1u3d70vzcGTaBtVXZ9flxIXEDlBn6wPZlkoxqnyJf2nRkPDM/UGN0AnQqIYBklU097jNuLMaF8
xF/RVw5DXfiy2zKJlXpEol/Q8gaoHYV+RhIhOn223Zx7xEMxhUh2jaZvygTp2NWu6cke6XJZO84H
8hjKhMrHUEMJiC9tVOwCZPzyY7MHkhRKB/0Vv6NhBBU0K7w7OsT5wM4sOe+tVEkU+eoGQBExyq5F
yLWhA1+Cl6rLhIZNqv0Tur3kPOZB/8NHPoW+x0zEAcJqGwZI9Qm+sNt9C5uubpDMTUIsX4HQpDcm
w78QFBSn/L6u6UA13QGQerTnBFh/K4PO+VpbAJUaVyWf3Cj6ZzxEGYkQSVyFYuDyQOjuq0MbKwdg
kzduubFKAVAuqrRGrmIQkubX/afd0IPXwPrVi+H4aX47Vn5HiAhE26B88UYw3wE3AF4rLywBRGGK
7WfbWxtSthOQtJvTpJlMh8aRnRqSYO0ZaVIJKlcG6quRjK7F280zTlvQeUt/b4i1+FlI/mT2zjdd
EX11K2KfYogV3P5o/Mmzdkz/ib4oQRN90UbHFcOVLc+078iJG72AdYUDaHpIZ+7KTeKDHNzbONyI
PJKeese5wpV15cJFRX+FwVDgMJsCcqTphjN+6PKRJTu10Rl4/tJvl9m1PyJnAkOTCurVvvBZjcrJ
+dDRErxOJrmc3bLGsAwuCw+k5DuPJNpd2Sb08RueUH9blha/nuQP3hwnDgThXhy9DgTYIN4r69u8
ys2XRqzzYSQYwV3fj6zPLGeoTAo7KONQyp6/iclr6Tbw4uXZRCkEttDjNL73Hb6cluB3OmoFLNBN
S7TXmX4USwwiC3+NJA7uAg98qOm4bOpkiunH6xpJDeffRQ6bqAdylkGUj/Y6WL/KoLXlS9cN/PH6
bksmaBmDBls/1pSdJklD6fzYXGuRnOjX9uGaLh/HozwPC1dktKkMZywQBNYgVDLNbH4aUo4bVpGZ
pKCZbM+9VhPh0VSPs8l3j5eJD8UjySvlydh9IlHFKbv+iYYGTcuY2MyTyEfnwy9W1MFaHqkCg1oT
xM17lpNKttVpNz9dC4Ulb6r5humR+2Fq6vusK7i0DW9Gm372aVsFBKnUs2jSNGtnjRn51q0jce6Q
E9Z33EZcO3N9t1XdsPF0uPquwbQiExThNZleO0fm6h19Jbv5nBOQtotWO7TbLeS3jTVmpVPTtbxz
dLBUUHU9EezZGC0jt2uBw7QE88iS9Z9/HH6stfSZCY3Hk+tgtN7aKJuw8SnmEfeTM2PvRUb5AR+p
JRJoAQfDkFNDx8eIO2Vw7mT0nUw4Xry6PkIycjK9H3W7lkHsPH3YThffnrrPIui4RgrDMOLB7jNA
LdruCJlhbSNgwCIgBveQnCWFAWrrk8uVPpPj5p34OPUtshX3CeUJYinIMrxbRHLtkWRYeUbdSl2O
DPoskJqgfbIHfjN6If1o+9k83KspNhJ6chFnQOlW3LVDgktz5/MPAWFr5m3P1JX/SkJw9Zh6L1nu
M7brG4HhxAy4RxiROh9JOfGdarqSHAHWRSAvLKKo04pvpcixrbizY52agCdMuevL4yv1t8SGUY6h
qnvPGB7cBjFXlXK/OTaRxVVNTYygqC/X72GiBA2qNHo1QJY9aqIHPhCl8LyKAlWGmSJGDWNcuXdt
2/FOrneirTPJYD1lCXAkNfpOImmErBk3SMUDHZnTya/XC5RBB8j3Zh01R6LrA4K/Fk2Hm+NoR/JO
T1Fk+mtgnznF5fMscL5aK6rNNHzOAPSt2Jq0L18mq+VLtkyamODns6DYoPpT726seNAbOenH6ydk
J6JG7lZTTFu35OSsB95lMtT7Ii0e0ZgjasrSLTYTR9qXoeEv6eZzWfBOAjrwJ67TtWK8bpvzIrij
VGFYJ8tP+OyLo7AJmT7M1sEsw3YYOMms31qrRh2E2SSLJWzXt5O4fIo8jewPXNg8r1WC6aOAS/Ak
lhk5s2ct1h6NFzlnThezHKU5D5dpw3zGUN86jEK55WGPEzzxlKSRa5FD4TXHOXUYFzoBzvgn3U6M
VirEvQwrMZ1/2AQLpYjBIkwpWnBsLQb7lJMUVu9A304FymyXny6GxGyepTAnbpEo54te1vuKBLR1
7dMmaMc6lizylCLxeiRnUrUgDuKeuH4Bf6xF68F9zEzWhXVhbWOPHed67zJVYFvTPRxF7aXzd3Ln
osv1/rSZ2x7IeRsORBPZ+b03+Nwivhgg2zv5eJPEM6SvP24I9Dn+LwULbdyW7dgejawiRRklx0cM
9/blelfgYeehQFEozy6xggfZkKqQOWu3Ie+MtN5i45UQoJ2KlYjgVbAJjUkTonUy/P3p+oGMqeTu
YxxV4Nif+H8zhVAbcvaEQWDzEbjl5IuTuPUUyiLmyfJwoT6ZHjmd+1px0wxZzWpvpfIBYMgCBX9F
WghDMsrv8Teg7eH5svM+L0PS1/iymUyu2zcc2Zhx3cRjs25AKPJja562dG1ZFOq4JbYCRiK59FjJ
ebfZ0POYWc3M66JW10/lbLfuRnFUew30TOHn0FtG/jMyUZhMuzfCzG41GhFqoeV5lH6qj/0wVsmD
7MgbOZEALs9IWHkXjg8wnJ2fkUAoJNigl94ZKEJiI8ckDG//UCk0DHselenRZij8PPi6fMA9BXYz
MrY5U9qjUzQIYcGC3E55nP2K0T9uPBNIgoWuP8ePbfEAa7bHLFXsSHPKiL2n5RlQoczuK1kofM+p
4oLWDo6RgzFk1h7wOXlycUOoVAKm95Qqld1bNpEQW3ZNsOFgLY8VvWzikpSq0J1a9a9AF9QLrqlZ
DCkywYx0JopIrbte3DTr4n+DpolGJHQGaqoBLnFowkI7GbVJF4aezbAl828ynuOMydK2LRX/bQLJ
l4TtWj/SAZwQEBPtZpFmDuNspMYp15KuSXz9BEuSCo8e/HYAPnF7PSjnBXfBZAU8qkGyeu2vqIAI
5PxrjmR1Cu1o4p3q62YSJazbC8GOOQ4CrP5MZ1Swy9Y9XCLHeiULgzvoejCMRVypG1yPa7J7z5pW
Y9eObumntTAPsaylARSUSYHUiDVmNWn0K/EBnwoKOntNo+C6rqkGes9slLu1jFmtFjSUL+MKGbiu
m0GWszjCjLfAx1Y8E8Vab6oo8O/KFtlYGCnaVxPIufccAeumJgjjo214hPqCmyeNEJEYtbN3V6fN
ZlnQym052yVHk4nLT3t0RYfYeOCJ6w1UMmCcsdr9UWE09EgMduYSWYN98rxFeCcObLo/dpxvEAcO
7aHuu2GPSwiNt9+RkS7yRb7gY6BlR7ZNisNA8JV4mcG2gVqWk0TpsrG44+y+JHSskcZ61kkhBTq3
S7wuB9eS2SGj1Y1Njeq+KsU+zkvweO7cm3teOXlJ2kF/0SuRIkHs8QUxZx52PCGszpx2Flgo5iqZ
cEskWrOtjMfWYEjMwD+o/J3VWvpoxo7xY1CW85kBxPyJvGfEVqM7yu2pYFTnzuatVJ0gEKerDwXN
la+rKaxFCxExrm4aiKM7kiqbG8fS6Zn0dD+MMzd9K1UfP7vU+Ho7lIAn8s4RB9JW53NgqegL6If8
R93M/CZcJWlHpVwF8eNSGZxYCxFPEPl6lH6AuEf3/dqd+W9j4r8xJkrbk9Y/NLLCj/7jf/y8zobO
H+XP//U/T58fyZ8C1//2E/97uEN4um3xL55AXL/ruOjvwx3pwcKj348Z8M85Ylc8dcCMx/UZB7mr
Tfjv8x0JDJ9+s2CNxkDsCeu/Mt/x19HSP0wByIvmN6xmZEolJgH/ZB7PZdQMjhe5ZychJDLmjN3c
ku0wm0xr5ewAS9A4DSxAMYD9i+clVU7wndHTz6RenGem6aRmyNp6YWsnLYK+3S1dWxS/henjn1CV
C+WSTKcARS66w/4J4m5M9kk8Tc0XUTVkvUDiKKzyNg/S7jCOuMDPnpkEWPSbwt+nSBdOZTRb4Kho
X5SzRP5QFjYnTt/ZJ6nEHsMzeMlBI7UocKborrCUuusGsz/M7tjcEKYzfZIi880ue//TBnHyTmqZ
hzksVd/aMhdbG1H8ybW6D/YEiDzaT2aONGab3JKEq49C1faeC2WcqwwSKbxk3A90E4HrAriKRxQK
rIDliHasQCSBIih7gG9gvo2cpewBZY1MNdIXUgyf5o5gwn6A4Tz24q1w0uCLdphAwyHFfGkGb3Q4
3N0omOtaY3mxMwMv59Ca57Ys2xNuZFKhwYriA6unExrd9D4wio+gb5juqgpTgXLz26bMA4IVjfE7
kSgRNlHH2ueVLH6WBUBSUELyJ8NDcB9+19bHwEx/oktud8GU6q+O9Ce0KCmrfaN8xPll4X8zzSHf
OR66GoRDb2VavjUGL80Bfll7f+N71BvOzsJ2iEw09aAee3jMUB6Byi0w7cmNlQbls8dImlaqSPB5
cEd+acbO3fsyAr/DCTU/sns3FMGe1/PuRy+kvzJCvR0td6aUJ+AMiZyMn+xc5o/z3C1kMybEuS0I
zhLLNMgRE9rhVYD/rji7g50VhPqWhpU+T2Ti3jmlmu+S2bXuwfohDk+i6REpT7uvkKX++E/2zmM7
bizNuq/SD9DQwgVwcYFpAGEZQU+J0gSLRoL3Hk//b1CqzlR2deVf8xpkrjSkIgIB85lz9ukcCwQO
GyZcQCnOHrdtUbeEoyX2uUrGM0HA8WGSRXvuULojDbXH8D1iTLnWL/IQCUqizdxXijs/8cibuFP6
9VjM+sZuMJttGrhVBVuzwQW+2vafER70I7PK2dilZlrPHmSb2DfCaNgNkSFRaOcYAcrccK/I4Z4S
1EgWUl0sxM3OHadzXPOmFFO0U7vMLTGr2HCJxTUgzfRgah0ncw+wtOxzI7V3m5TAjRlFK6uEWGZ0
NBry72kBYWRWZrVTie5+iYka2wyNIhKuiG9pwKJdFkr9FcxatoNFb7+l5MKclikfIs8eIptoIAZ5
jejGZ7e0zFstDRQTYCdAngJnDVHgOF+Vo0YAoEPI14n+jZSwPNCiLfFyyy1uT4xTcGiRmEyF302m
cWRC2txn5B7uGaH0n2UkyzviZiPSmYOULE83jK+0yiS4LXcdCCZ4w5iUsrraGIwMYCiPUJ9JVcfk
MqBJ74J5G4/O8jRMNc6ksYZ4wSrAR4/PV4Lf+BI5RXNrk14lAqd5jFMGB2RvH5rCXG7GXse8M5Eo
1nNZo0o2piPpW0SZjnbJlM3QtmIUwMmdypkfQAdVl7wdjEeDOLdvqJ6xTNpkuvZjQ1c9x1FwhCyh
HqakJr2NjGcTv80lV2TbF+V4F1p1c54TJNbcPJnyYH3wSllEjJ5jk5tC7fqhOWIOq8W7GKV9jbKt
OBpiMI45O/pNLFom3kVl4JwJwj3JxMyBY6ajqgJ2Pxtm97C40fwddikTYE3NBzx91p2a6zzmWySe
lMTryCPEL93jeyKhO+BGjiWqu4ojSiYGNKSlrppS2xnsiz4VWDgYGR3dMBr9IHWdr2apR4e5GjM0
uJm7bSwsBH7SSvsrD8HlQMiL9l0kpB5NY8TU1Lb6H0mgocmnZL5va1tA1CIFrqz1l3DJwy3i+Mw3
ygFax8CW2auCOvpqLGF3bvLsHm15j+8cM5jZNNWVQZdHLbTKtiZnudUFmY4tkZT1Bh7IsrXQEe7B
g9Ksm0AG2xT2fa8i63u4xt+y68fVuiZqc8+k2kzHyGtsqZ0jzarRmcvxS0UopmdBE7u32ZH5GITs
r70TcW2YNvJJEl6PIk6nS4E6mhsWZPBRxta3NCPLiOyw+FoERYHitRQvYx5aENKXp6Dnlm6Ms3GQ
g13ltJ+BxN8mkF/qi3PM3ex+0cWR6kHfoHcTNitEwpyAKksXk/bA5ioNv2iTzBG0Etgy20V0m2Tt
XGy0Ohw/Ax2vT66JdDdkQOFwBwXGzX1T82ipzq3SzPtl6W/h+K24Cz276jlgnuTce0xmoE4wVDZc
EvSRhFKd7SWMjq6j3acznKhpbErCBcyVa1WEDtFfNqHYTpdtW4LgPN0JzklapfuStdEx0BMHU52O
iAqm4ZELCmtkziQCWneyMaZsFcAH+TmUDbfvMRhfkHNVe43F8tUCLfpNqCx7bSCjXcu2QbeVS2zv
1pM+W+01rpP6PI5M/5pOW/ZOr8hBk2oATBX1J2nnLwkzzGOEDWBXp3G5H/o5PfTLCjaftLA9xQah
aVYcWvdtWJS3S41MGMOCHDZJcifCyvgKt3s8k7Q3IC4VwfBFxLF2yJZBnvMqTk5GLHelSaAG666b
1LY+E4NmocvPs21cmMFGhUP26Dphte9xUt9UTie8idCMnV4H35005BYYRtHeaV2EucTxHdoyW/sT
a7yqZBo+Dy52ctVCVMKhVvuWLZcfss4eo5x0LyNN1EMa8BY6AbqK90dsaGJeBu6qpFOKb0FL3mVe
WtFNUpXnbNTmC4q/M/Ab6ymr0+JUJyYBiFoz7OMmcnfQ5YJvTT9Pe2uKm2+TVtjYu3t3i+5uOKoR
ajuOvW8I/7HI6jl7o5GMbiv8mFC9aL2c/WY2GSogBzy5LgkjaZhdTd2VKm3LYB+XD9d4oUO4gXrp
RbrKnhLNLh4oqlKS4R0e9VIEJAeNKTGCZdmJvavC6joLrV1um9XemfTmMpoWevJJavsosfIdrubw
rNZhEzL4HvxPEkvu+Il9W0s0bxGe5R2iOrY5SSK90Rq/taz3vVI1EuHlKJabaoR6kaLqOIGaLHbg
kqYXIhIc5Cs1ssYAl5bcpFmIZtde00VkuUxvBaCib/Y8eMBJ25c8dAOfN/Ij7/N6l+SFW3oz7dlx
bnUWLUmqHcKlSW3mWSlMZ2GlxaWaDCS8eOMYFOZ1hHc4JEuvMXyrWEYeaTYoGnA+jCfS5Ia61+ti
HTykYS87Pah4go6BwAOVhh4P4cqPHEc/BKam/wBrItl5ZUxeO9Srpd2RgRuDXqT0aFhUpXcSEis4
JUT4V0GA37MujORIoG//rRQthLopCLYKn8gap9Kmp6btWy9EYu7XIxNK1keBemZ/2rg70StJ+Ih+
p/AIGOiW0emKsRNvU6WyGzgi3BAGI/Mw1xu7oMAFIR5wCfYJUTEDWui3uGfGaW3yn9u7CU+udQo+
9nrdRJjp4zgD91Ds/aZ1Aeh+7AKThk0Zm0GYJmTYQl/0pRunCikou0QNCy6hOuuGsfrYNbq8Q2oE
+czvlN80gAO72RiqYzAHU7MR695SXzeY/eDUl7rip/HYlV8J3ATSMDc7anPtkjKK9/twNvaxkhVb
0Woq3ptAF5dyXZoiolu4gmnmrlGOPS4RU+G6kfY7rkmwuYtaqqtAuuNWYrm+b3JgVglGgJOWV/md
PiJ6Zhs7M0KAEHKwso6cqqgFQFmTIlFalDDG2ELMCuP0YDekkKhMGld60VqnZtUZoGJnUZFFyLjt
OTfxWPB6CMnLpykerC+tSDFsQM/CrdAKjUW2nqWezpG7h/MovTjr5q+jDG4wH3FYdaC4D9Pohv4A
q4kchH7RL3MVYuDu2tZHfk3ERisdu98EYQX/kqcwue5T3R+TdjXWtFWRn6Y8SR5D7GhfO0pPeqZ2
uJ6LJXzI5dLunPVg42lL9prb0X1JI4+u4eeNpA8X07C1e4woSL/rhyDI2Q9h3Ur2PeZs5MPNarQi
KzWsRf2ZEEfxLCqnfi5KEn1zpZ8tgwACopN17WAaVcVM3iVzuB/0K4Y91cMQTS15FkFVqEs/RdYd
4MYXhbONBfiCj5PVkb54zqjz2I+h2o0ckMC+SbM5+5LgQHhibR9Aq3EFcp9eGHtaoe4pbfrxfdCE
6VVE7ly1eVhhdAuLXdIkXIRTU2CYtDs5b2g9qHXquDb8IJLj60LVR8WvEQRP3Oa6vHRSMt3cLL5v
QpdKDAAjCgYWGNsWeNnWUIt7HFleH6NlSc4yAjCTowu5ziSdA1BlTiZde82ccnmKgKxBRxA2H86E
d7DVZTp/SblVIKRGve4tiVputJnI5Kyvgn23yqqLtU4yoe6iJrawNNR6eAoM5nIwH6Erx0QMF0kg
vIS2rKT/XAtZIZuzNCmu40KX6x0s3ELYGqERtXGS189lh+v2RqRJa7IUsGnGasFTgGVkS65Ij8SE
CS0jkeVdmwt9vBUfYZFoOfgDMUF/6Yqpmh7ZDCU8X+GGVnZ32+ss/qDC9spQWGDMZhqvOCSN4+zw
9Ea2Z+LDgXf83zm6nIgB+3S9hNM+QCHOpiWfPv9p/PNPdKwfGX1/6K1oH3TES9KRiqqM6c5f5ZwV
GdIoNsR4HWqtJF0Y84wgdkQxBtccxw/Cb0ZuriuYk5nKnYaOAt8qnk9C/fqFyKZuy0fdu0vip1Cj
//Wb+13y9Ou9oZUVZOUhRfmroC0XA2JxtnzXmFauVUWtGBzi4W8kg//sRYRlIabQ0Sirvx4AmXQT
Te8wXseknK1/2Vq2K1T5U9j2n5Hk34wkFYvNP33r/2siSbxb8f2tiwk0+rPo/Oev/RpLKvFphZoJ
m33XT3n5/4wllflJGcwFdZOoKTKnbMSv/xCeG59IB4GgZlsE5P1Eqf1jMKl/QiNpyxWaphgfuf+W
8JyT5ffBJBEOpukaqNwdQYYIZfPvyktpzDYss3g4kGUnfCOKs21EGK4nu+55ttNXBzXepioXLpYe
B3ea2PC4pjk9OUgePL1zHnm0sL3IuvQy9dl5cKyW56F9bdQNrgxdY0KVDC53bjAzTl8sO1x6uk/A
LRtcp3axX2ux59q9ixfPuKuCARYJAUibxHJwKddqgjPDa2qhPnhETPKaeo0BJW2fh8x9RH6Cv6sq
DY+4+1dbq3Q/y/nxdGWPMd1qjtXQPAuaMo+wW6qARZJzGajP2qjfJ6Z4xaKKEEhWz1kZAw/uYL6X
KsbThtI5clr8y3weu5q6rd7Uz7ZIVvuZQp6o8fGQChnYqUEnDBpNUeMcw6LrtiT/VODpA5iGFAdL
kv4wUg13Epi5Tek0iPVq/tBs4BBYafjER+Aw6LShMY/7oOGnBoZU3lBZgIsDo0UZYeC6tCDmgzjJ
fLvGtTmk1t2af7VdfxP8NZmfLi3eYoACCGcOQZWZ3VZ2YrkLS8LHqU+3Ga3QJgsXeSUtSqJiNLmd
17whk4Gmry/hU9q6E2HrEPndsvgxF3V5qPFtejKYU39MZ4PFLEzcINMEx8F9ZLjebU3yF7wWxBs7
8IQvuAMJDSTOwE3oto8s49JzjUAQ6EO27KpFXw6jw9EzMXJhHVJHR2gE5XGSxDV7t9mqW5/Ftu5j
eMYR4cCK193H0RH4mlP+luvyboh5U2HChs7U1rI4IaO+xHhzUm5n4Ptez6KOn2UOdB1Tj/l1Sfaq
GkDh24E9cZg4sfosJ3BKymvO5x+TS4nOiszZZGP8alqK737h35KAWm4QWuEjG2k9NZT8Ts5Roq0B
Sq6q5aLXres1bfP88X3nITbDIeO06kY+bxhxyqgVNVXWGByRh2Un4gJ+cJFzVtv8rEP1CsKCU6Vc
r4Ww7uanDLbCxnaSV1PwRrjyHMSHKRHpHC5lqcd54Zsfa64TBd75xMN+uUSKq8NV7bOiV/JsxTfs
9JxMDlfjx8EoqhXIp/GjZHq95iUkODZ/UGJQXW0tfM/oZdrgRGKEuM/bpPIo7MDHQtvyzJXOCagO
e25a6n7eWBxSfeA9hFGLuFSb9iFF+dmsg9irO8LdUViy1xtNct7AXwOG4iwr+J/TWKQXx+BCxU6p
+84QZWSshdlW5zrRsyG+GyJ5/XF5mcmyHHRBIYZlxfH7Em5DiZyAWDK+bjR26SmM9GI/6SbEELFe
hqCovI/vVltrfi1gmAL0n1sIp0BRwfgzkfh5H2c5qrkFhULj7glNSLdzDqrJNqMM+z+n88cJsJ7h
XOJ3sbUUe3PmDAXS2IEOchcQhnx1XT+C5mL/7QGu6VZqSfBSxVI7yIiPumi8VgHs6oDSmbsXWL14
5h9Gkf4IU94fimnuK8x9vJxMDM8oBMrWpi/Oihn7tcQYD+v+VQtj9FXM+c80dek2U1wRtAi0uJLr
lP2QOM+KcYKyOcmK3CzOWkstTfAid+Ikfylabg5iKfCpWXs3gruiaxN/mBhxwrYm7R7iHr9pKIhr
LNJHpvik3xSs7LFT6ge9lHgKs5CbYii4uY18dSxI3X3QG3eRSQbDIop5D/YIHI81YFuu+djBwFsY
e1CbXCLlIXe4gxG/av68NxnuZGw/LtoB4pKnhRoEHHB7suGUaKR1Z8zJTB4HIBrJjJvHDoC5mbT7
XWuT1p6WeAPXgPjzZFvAuwlOcRHIUOlyBXwca0wlKaydleAn+F6twk635BO2vuYgHYI2U29UpgW3
9JG5b5eI7p2g/lEr/nPeJ1su+or1DPcTS8vinWiaN0dn+VJoNCFlrT4z5YHJqEW32kgLWnbogkYn
PM0xAgXiLtEt+YQV6VsjHUtMxpNmg47Jlm8p6qRhg92FMQRKYJjiFNDJq5GUk8+YBBQxkR2PEgaZ
3+IVSC5wO/tTPBLpAUwnCANaQPgs20RHDxiVcQcr0rIDZMyIb9Su+QliTzt9i+QFPDu5H6Da7brW
TlXQv2hohd9bd3izYh3wfWhO6Q+nNrXF5i6xQO7k9j8euqIpd26eTkzJGg0EYZXARc8TrI9+yKPI
N4QTXFzw1toOdsDIZNCIHHgDrtXmB/hfnfY8hxa8pJ553DmIXBOPdpMRcQlnhQktQ1hj3pKLEWhQ
HygfImU//qkU+yfdwe/ifIonZVo2ggvCnHSyif9qYIEHYyxW2cBbiGeQfUv0I14zBEyIYn0DFll2
XHVWzJn+r1/3d3fFr9e1BA0d/AbFzvf3esqdLWN2u6o/iPHjZsc1aMbpe0FiJxrFvw0l+t/V29pg
CBvaLZFff7WcACPCIo7K/JDNnCBrJeCmgYYuCSX+x+f6TxPwN02AaeoGfde/AibTBbTt9+9/7gF+
/davJsARn2wJnRvPDQ66/2kAXP0TbSup1Qa1N8x8B8nCH8BkHKGcuJaBCYtuntPsVwNgWjQABLwB
vXfoAkB//TvKBEshsvizMoEuw3XXLDddmJjcaDZ+P2HV3JhaNJJNog24P6o9cvMQVi/RJqwuMXwR
br12N+O5gynsrdwmn1WcuUe7rg51TloDFhXy4Gl1xHVbW/bjRLLD1o71wg9DgHPe2JjbPLSn53ya
6tqfyUF7ccNCHCkCMq93Jdwb7mJbppzvfVF1x8Fsw73E7uvb5PEACMHNsSxdv58HnWm3Cxt2g4O0
pZ+vcy8rHNiKyVw+W1XtvBRNmx/7KWRqG9soSBW70m4gcCWJwxvUBM6hmGMyWCNzgF/UWh0iQ8Mu
nyMB9cUYtOXU0lhEfmjY9mtA0gXr+LzK6k1OmvalbGZmT0nnnJFb6/esHA0U1epu6IV70ROSmp08
DL9lUQvuw0yHw6L6wU9jZH6Ywpp9Q7jKYYxJc2nM+a6sStqGwih2xCvOm6UfxE2h3FNYpEy9p/RW
c1BuKIZBGzGPzjYL0Qz2aS0fGt0k4LS2dE9fLOvsJlN77NuFSkMD+WwRy3XKWpQKqVGjTNWSxV81
jZfajlS0rR2NydU49o8irqytIaQ6hxDh9ngp851RozXRl3a5qwajvahYAw/dG4/2lE9vc9rb23ZE
oxCotAV6RDbMONvZzu55gmnVNN9bcaJee/griA6/Qcxo96Iyk0M/kDOObDv4TEVf7pIksN+d2E7n
CzDl5BJK8KGZU01gNfDLbVnpDH7MkP3Q2k2zq23oJbMO8Q8lj8FqH25IQ/LZq9MU448Qr9huWcOd
vTrIyftxTOvOmkfUCCx6n6JeMEWcyvlFs4VO38Oa/qKV6UCe15rjyqYWW4obVdsKzcCGrFU210vq
nALdLm5MMZSXbBRP0aRV3UYzrfrg9GV6N+EXODmFOdwYeeNeWTWBXnRdFjCNWGi5OvRaH888k+Ek
wGm20tRbesyHdrzsksJAobBMjbmLrAp/gaiZhDJ+zg9z7yTeysUMN4bVI2ZAJwdJbVwgWCU1IO5W
sEieyPXAvCEProTrHWHzuDS28VJmLAvO6Nan6KoS2Rcb8ts9ZiamcHRZxzburcDYZ4RXp2ozuGPh
vi3WXMfbkIiOmwXO4i2aHid/c1mnkSVVMM11uv6J1Y552zisLfst0cuPVtAmW7chhyjMCveE0gfq
uRu0iOkq3Gf31aTlyejF8xCS1w4d6MnI0GEzMNdT7Gg++TClOhVMtVvNz2XCOo8bJcc9H6plFwD3
spstWT76V8jZYwcHRguv61nl6gsjQWYL21bO4q6Y3D54T4K6xQG1uJBS3U0kLM3a6n35wJkL/Jg4
OBQgq5El9aYB4tJG79zkVQFL0Q5OMSD1lSXLOlrznkytoW9Q/AZTtFotwtz9nM9oqlPc3ZwpOsIo
wog7fdgUNSr2olPW+2yZXbo3gmmoDmz5FaojLYar2QnSELaFXC2MSxYy380nROdmuGCZQ8VApaiv
2mHufbxilyJa3Bguu1SfiJYE1HTsFuWNcmYDINbc15HZXaUkkOmQsAfyl9Wkwi12FftmYgW5A9vM
v9JBoUuUHGPsTcH8mI2OcQUfs202KYRPJtC5O+4Ty7QvlGv1EYME1/0kA1+mGQoSozfVnil7tC8U
/LeSPfVtYWTn5QMT1xCReZ4iCd29qtSuHDtE8NlajK36MkLpe9qdTZfYxgnI4h6+R7Jeq6QUi9CO
t4BtTG3HbEN/UFmVbG0QhIKWDE6hrRXFtYr68t4ZlH3d2fXwFaKnMW8M072aqfRA5DTCTycr3BMx
tLRUzj24vhxdzls91688oxqwl5YN1BbNdTzEOlp5hkUP5CkGu4nN+JO0whZGvxbwcEDPTMnc3pSd
QxmrzfppYGT7xgBF3rKy9Vtlh0duncGBjEH9GdZM7LeoYb4OgpglMuqM6kDG1XSlWDddLGk4bEim
1K9A6HyLDFOcZF2ygA2nXacVGAQ7fUm8DsZaBeOSRXAyB8utjbIGojBNKDymp4VW4oiert8LFhh7
CXuz3iSC8PCl1WgcszK6UZYrE7/BvHQVm9ziXSSMftUgkB95/QesjnJj4ITFSRhEt9Uckjy+RLQ/
iRvubT7ADvLyAMFvtCJujYv1bAKOW1l+bvUyOEZ3EWoR34feKHeygyeDeFEc7LY2EUDweqRRhn7F
3nKHUL3aNkWXXaf6WH9myVhf+qZrbqUU7tlRovCWqEjOaTSRMmZGw3VaysWTRmavO/1vtQO0b7ai
6EtQ9vp1EOB/6ZPWphLIkXL1Tql7ZW6i0ZkwV9AZSedWYqbZu4bdvDgKndc6QjIxi2IclxPhULlj
o+Zo3buUONwrkaTl69iG9aYCesiYgViISA+/BKR7eQLRMsWDUgSjzeY2RhHlbHShPU9FoG/HqKwv
U+HOVyaI+Wx9+tf+RGyMb4kI4NEkuifNQGXg99hT2o2F+cDVRpZxw2S7HqlYkLNd1EgMCQ0CWWiA
UUHoqS3IaeC6dxbT4aJuhg7XQyx/WtNggSPvV3rCnaBpUheU5GDPkXpAMumEPPLCPA6jxxbaUnz3
n/r+/4csYyAK/pe6YxaNCI/zlz+X979+6Vd571qfLECmSnJNu6YpXWbs/5Ae6yYIGXpQrC26sTYA
f5T4av0/jJHsFanxR3lvfrLZZbHN5UXW33P+nfKeC+v38l6QVcXcHOAL7wAL11/L+4aJGNgpUZ/W
fZxvWtmui4ALmqh072REVtZRwlxiktVGi9ymjd1rT1Enk3dEO0bJrJ9k1qVYJ55xgOVEM5vHfq6z
KyeE135LJELzbWhi9VWCoD0B2MquiOYwfNKLGwaEcZyfUDdgNkndwe+GpDgnVa2VX4uoKi8DOs5l
j9h4H1LdkBkZGdUuZyftfh0YlDkHRyewo+lQ4j8P49Q7tzNdhk9wRXROjLKztqYNs90ja9aJX4ZO
i557sDn5oWzKNOQ216PL7KQedeFOy3KYX72extG0yUkzMMdrWP0ovnaYCpfquiQBDqfw1DbKU7Ai
rOCA+44l5zZHJ6flpwIgEBqVNXrFkKBkCbu6hqMeUFwEKKs76NkzlcaKZXH10e+HQQlPRIHQ38Yx
a8dlm0axHHXCd1tJxl+RlEFKJkizILSw+4IbeOEYGoKvzrW4AUTOUlvCl0llLV4Kb5rZFm5tIwLN
6oBVXJL3JUCgK1Ovy8NZ+kNYxuAqDWsI90Y6BSwe80476pjgbnn4IYtwNXMzDkDWk1XvHQHc3Yey
Mh6QngFzNVuAWoxRxztBlbGzIRq8qCpJt4hQVsDrDCpupTgPK8+ZtYm5L1srP6Ib6vfpB/i5/mBA
D1l/dLBWqD5Kd/lKiTbtKLyRBgpUpr2Tb1tYQayOQRx5tuWhXdzgrsHP9iUoNMhbaZARZ6sN1U2W
2E9pmYd3JCG2t2M0qLusSoevUY6IhIIkODVVNN1xPpS7eSjjzxnU2FuSdtm5R5VmMIDsByKEjQDD
WqyuXaYjnyNK2QO+FO1Gm1blZQuFaMemyDwHANn2GpSQxReqSefP9JNwyFfsNprJ4qGdyYTdwHAI
J08SzT15qHzU5JWwEo5FQ8OIa41WGEVpdxyBgu3HLA0/g8Uzr9xFoVERCBwfLVcQTOhUTQDtOW2y
HzyJbbxfamHTELJ0pGsr8bLCbrpt4oUOcZSPSU3hn/QWKyNzUmcglCFRAvBDiG1s+uGmD0PMMNNU
HuBZ9ZRgM981qTfNXZTZxWcGg8Uepmr1OhrRF7HCzLvMcU580/l2rkzLm9vKuSwkWN4FdhudCmtq
mMmay3NvLnm+aqGNtwRoxJW2FCrZ1CCCT2M2MVtNqu+DWwcHIXXSlSaySxAoJw9u6vTPup1kX+Z0
ib+YYxdLZsNOiqy9cFkmcYXZWtfsdUprpOQg3WNCcMYysT1SlLN9Qot8U7iFPI1T645EWKRJRbSS
q93AaCbMSK4MSmnr8W0RJNOJ9mxqvDJkjzPAt99E0iFXEgYguwIN3HQ59pWH5JElTAa0Wqks8kJN
9yrZjicoBoVvzpKoJNSaN53WPMVL85BUmnqfZAlIVXcHPd1I5I+SxciSPCqwNFe5PgdnvbNIaUha
bKtxeGQKqi4rvZJLo28flhWkLxu9fLN7KlLIueWtSTDKK943hCZCgzLu5mOFJy20nsLIksxrQVlv
xpxZC7jQ8GIZov/aSQ2FSxZ6OFIp41OYuh4uthPuYEDPQPC+ZyPGvHaoz9hIkT7Z4+RHQ28+Q0ON
D6amqFCncZxJwWBzZaX2iLm6MzSuOCvSr6lqtV1TCo3Jhe6Ud2hHsKFVncBW2mP9GtoYW14WxDQ/
eK4BUhk49+/L0cJonYaj+QDe2HlNxxzHH8l0WAI/7PlBEDEU0LCYE9QuX3qUp1dsA2mHZjokfnR1
FoeiCNAMORH7gtHSL8rFVTqT7nOtkMnNm5AQZB9aEbG9ODyOZe4wvalmAWtBGOV1G7cpp6gsvY5I
hppn3r0Y7fkYkh3n8YeG7AqD9ijxr+w74AVnrTPYOqMnf2NILH+UmvVO+2KcUbi1HZuGfEbDlmxr
7Itc5Fp6GafIuTDRSc+RDnuaRfJbpBtkKesrZmWankq9eZjqRfdQV6IlDzArxr0d7WIBCVinOb2r
BZpboF5Isq12bA/436+zdAh3Vh8HflM04ktcS2tPRC/Ax1q9Jaxw7lnJjF5UZ+VjqOgcRNRUZLem
YMGbQGYXSbo1QuJiuJQFYbfaOFFy2rnd7S0hyjvO3NxHDT/eQuhq3uup1ZDwMxmg7LGczyEgoBPv
cPaNsVpl8BV7jyyV+S32AbnL1qAPsUZ+6IRN+Ygr4zMQMrXBN1zuu37qfaufuq9G00Q+Aij2nuSJ
dK14TeqKacdHzAgibCwlawCJ5dRUtG2Z+lMesc8xp/aHMId024u5f0h0W24Ha1z7fgdah0NAKwaK
4CFe01BsHb/K6DJgm9u4uRlClvfb5CNQxQJr42lNpB3H/gpmRwQheXxtdCv7hkQIrTRJOO857cgW
vzrfq+N8i5zse5PG7bo9Vp6uUraZkn8K1iyYGanRYYjJh9EBTfgwuIyd0cUCBK2WvLkJCr4uI0cX
27S2sYC/wArPzJPRJvGu6pL62FOQsFfHGcKkst2picqL1gDMtRENV/FH5E020S13aw6Ozr7Em9Zs
HFO1xVsngSvz3h/jPhReP0f2YRxMiATyslhjdSjWnB0doNyOSJi3Wq/uehLPyd8qEhD0y55btLaZ
oV2K2Jo3ETnwuzhdqDAyfVW1l6iRmjult3u3rSFN5T3b1BRbc1TcO1qXnpJyCXdFg4gd4jTAZoLg
N7Ro2F+yNV0ou5i5pt277TTuM1QbB4uASXJ98zstLW7nJo52DI2RA5YaYutsvnMZjTIATYlf76rS
7xbo1FZYsthjLLcvBnPhJqzMG60jm4h7u3oklig+LElQgi0R3+vAJlYKCwV+9D7H91VJHmQpoUmF
2d+NhnDf4nyut5BCC5Sk2sGehgJe2+DwMEZOPEhgSrpb9ceJKd0hKUJGJ/HinPJuvsti+c0K1NN/
eqk/9VJvJfVLM99/x/D+G27TWNVF//em5Ik8v+/v//XQvXTf29/bKX7vVzNlw+hEksS+ZF1yCEtn
8/GzmYJQ/UkKg2fPB7zzw635a12CysoE5/lLYfVHMyWcT2z+GDa4WCVBXhrq32mmzN9XJfQCjjCw
XwqTVt1dFza/r0oykTSFGFP5HTddh0zfqCwkLcwmh3j5LOFJpy+I+4k7LOq5nS2fYGkZkcQGTOY1
LBoLsExpTGQIuJGcex+kcFEfRjfP2kuGa442oEwnWb1KkpkmnJy2nSWmF2KyE98V4+v+Hsmxyl4c
R1bBm5mbtX3NWK1G1JNjgeatWBUb9Bs820Qn+WEmySmBaCzznAfbXPOWQ5D78xW6yCL5oeFz4Hf+
9JX+k73r70ZX8oJ0xI7ghMj75Otje/X7MVLMplGXRs73YCyxXx/ItMwswmEH+qrD0uL8Z5YVV1n8
I9MD/CA/tYr/J5XtL7nYvL5SK67QYiDIN8Wb+f31l8R0AG/b8Xsi8PuhwSGAx6SicQ2tTnZIVon6
9Rs6QgaXmoVuu7gdLXNGxyWsxR7NU2dHBaHeYH3MRly70oEm9jfH6PcdsYVa1YROxylkE3i3npa/
v8cpijUjYu32bmMF0Q0/BJmt6l3mWJ35/yg7s928daxN30qjzwVoooaDPvlGz3Hs2JX4RIiTvTVL
FEWJlK6+H8Wpxo53I8FfqKoP8SSJIhcX13oHwAJKRxFAARfr2//Ru9muiwgxQu/CxaAVrO6v15VY
38S9E2DoCdgFEY7Zlc34uaAjAKfSVOVU4qNdaI2WBG4QfrT7/eXfiXly+RiU4dZw5KDss4Z+vXwu
5tJxbRF8d2Ikl4I9Z+FIfGUhOfoSra64uUMfrPduN5rmBM3PdQnfyP42DMrv74SI8I+eJy9AYDhJ
oyjZai++eA8OoPWPIBs+MN9IwzuBQMIgIT8fnawd0wUhAGV5K7+/5L8fHhpIBGEI93BUA8N3uADa
bllTYQ/0PYwMq/y0eNHq1SehzDSGxzLJwggqEKMO1D+K4+iFXsOskMcte1eaP0yEjVn/bgBSyPI/
FmpAOH2PG8gBPVPt1c5rQX+odS6spgmBKLztixHnGFOFOFeU7bj4cmcpMHNXonSL6bGVUYXjm0N5
+jFtixbDkUFgLP9AjbwbX38/Zr9iOBAE8JAgRaZy0yClsha9iyWYeCPhMaz21VJUZhLgKuIyWK41
AR0Demez8wgNc9gWDcyb7YOz0PQ/HSyP/jZYEhfyPvIChLZf521CBq4XKCqvHYj/zU+B6IV6+7y4
ehHXAVCh+uuY0zb62lakhAjlSKScxEVCKWGudwNQvh+Rfyn4rY4j+3wdWsgi7R/Civd+jnnbIMVU
Daklu8hcv9ufbGA6mXZr8Doiu+e0R+gjspnuhxUxLuz1aJJwcw5mNXyv54zTL6jwrYvzaKTMLsdU
NVikt5vR4XWLBotGPix1owymtnCd5oHeAWxRaJ203v297yBI0125a9rwV1FyMsPwh2W6Dew/AP7o
wQJKCAnoZALhBoj+deDNskKLWwWUdahdNUYTbRsHL5GqC6bd76favy8Vbqq7gHY2H/X4/TtuM79d
pjzKUQDawtGMvj3TyfoD7Yc/PJX3a0mW+Bt5gDvRluC8GiEu8S4Ost66Ye5m+RKLXsCRA7YjWGBZ
NuG1sPdQZWXDQg74x54A/4vvTT/uSsKd5lvW6ADfKqCHfw5T4fu9yQelnrqC47UfbOHx3WSvsXSg
wNXLF6mIDcMxgMAb3vpeEdAJGSn9DrR552Z9bgu7LDHQZGUg07GNmeghH9bMuVAt55Bn5UxjdEeH
f0t7bDgDr8TmR2yTrh+DlIWxzLGYH6Sq6vV5bSCtc65pmm0rLplTTLu+Swu+GHCqWJ8T0CPMyEBU
Cx/j6ub0XijdBOMpiqdtRtY2L0mbwKRweUigzoIIUW+xzoXn5bncOTouW8ajJWCDr3aMkFY4pbPy
5scwAOKOgFudqR1cFeW3gBKz1l7kISnDly7psvB5dmf6+sc4ycmeIHggb/WHufF+Y2L0YxekEPgE
+gLwjH+d8fjbgcJPZfOyeu2IpZH10Q8dd9TEeoyZpsEQ/n4/8d/HWB/1ejoTZCNQVRBFf3fFUbnY
p7WB+RKs0zYZDb6erC5/jLHNO0XzIKKXrApWJiHVJT3mt8icA2f+Q+zaOh7/WOvk7nEU+VBYfPGD
jBC8u481mKfBSaP2uQ27VgOq7Sfh/NUPxUCMLeqx844qo/J/P49JThyVKBbkR3rL/txD+44N9Evt
58N1kyXRo0UYMVl2o/EiPOVAeQBKRpgKKWlrsUur3BDG/g4LX28LYYXLPOzngpzpMqtqvcWzORTB
B58sBpXRALCOnf/AEHofrZOAbZckiqfmpIMqzLuMoI6yokPdP36a8V4kNRdK+aTmM+0As0O5PwxR
uzAgpna2pu4x7HL9I19H/Xib0sEEJjZ7zGy0TWl/KNdWXZQIcW2Bf1hHrMQHKAZoqa5iqVl16Gdt
JwVvASv+rGJvYBn9fi79S8abvA4ZVtRDidV0xNx3AXsIuhZflM5/SnQRsLY0LkrcgHaCaVu6P9Yx
kqXgeE4ZaBqWOLFyCylKDmyfTkEliiK22L7UYydYf6UIF+OBRKGZLw2L6aM75OX4qbKgXeGdlhy2
xwmbRYA0MlEgx8Ccd5LH/cOjvTvXJGjVshf5yNpBO0Nj6N2jaSr/cTP1y1OQz1uk0mpgagHpLftv
GmM4H306BBXW59hHUKVGD6X3eCE2apt8Oa5YHtGESgNnMk/k3orhgAUdMPuCeSWadKWTMsVC08gt
uk2EzYsS+D1hTZNnccFSowfu7zk5YuSN8G3IUGgdF47eCxzFWRIFciv86218tlBY09T8f8f1+7ed
9391U3vfl50e/8//frdGwSSjTMH+JaiVUft5n8B7Br/YJRqcT3MLemc4vSXtQH8tBnecl6ED/yks
vNuOtkuGAccVOqX8j1zw14Do0iMLYd/En5DEZoboRWsmFBkN40PjIewFgHSnt6C2mmBhwJs560jE
CHqMklG20fcxePYM01gdJgQDFuT8oJqen7Ktw8LH1JqN6udrywcDG3xnm6RjrbCKtteR13Z7EU6F
9AeKIgizzg9u3/bciahr9iZcnrbT9+9HG6m9X2MiD79tAgQJD82of58TSXJHaE92+YTfYITMk55q
3HMzwODVHQ53oVqOQ6EiSnWp76f0QpSC5nrlNlNgxU6SwznoTrYOJpNtEaPQZ3qbf3PLxr0w2RRi
RhvTUPiOgM+qAIlBkP5qVjpCH8LZc+2KXnaXots8kBUjIGeMSOY7NWCthg97ix7BTeAqLz10ncIz
ubJ6Utmut8mw0nvpZhVazLHqmcUwr8rAVbWOqMLqlNLNCB8jSNBhvnetN5npLJFe9jKy0izXl7qI
yTf38dqYFblQ6uyxvLT1gkvYMMoqOs3IFAQH0Tp2/YREjF8+TyHq+7S3te/tF07dWEtHuR7TQ1r6
BvdF0eQIHwUaHpBr1ussxWrh7Bmv8E+ApdEuPUoajeET5kx57TylvWvtJ4tUjr51Rt05D+wYMQ6/
KooUKB2asTBx+94rxo+pXZv6nJXUbE4rEjktjoBkj0i8xGodh+TVa6ukQ8OIEq89MFWW4a8UpQDY
wKC5Rq+60Fk3CIAktSua6JzRbojukKl26vqMWok/NsVfyOcEmlG2aIup8BZm/cyUXj01yuIjwF4d
uceuCwFlUX1G6qm56YStBzTN51yb+Qa2eV6W1G9bM4mHrPOD4TKqQlw5T8wVpA6RMl1dtvUGar5B
O8kJo0Efikyt1XJp8hElqjNytuw2qFmakAA7y3JCZNyZIjFeMjmMk+1NQNqC8rMk64IoRw/fRh+w
X4/50G9fdMoS0Wa6adQq1B6pw3B4Xach9eerKlKw3i88pAfiGLFvQZP9bLvKaxu4ytCSoYYLp+Rx
8kCwqaC9vYD4g1hTgJb8sBhpZHyP0k1lGhwJA8eXl/W0pMn8AZ0OVMAoaadbVh2jBFnUz0CYgcte
h2EzMlJY1hOyb4naQyGunSBTcYOy4FB6zX1VGRroR5peoImOmPcF3Dsha7ulZcapysevrFjK4eBK
vAWTQ6ehi3Sf8ZnsuF6L0Wr6NOUJZp+K0z0j66Pqyw6y9yJseIAnipyUha5quuX0IWIE28Gg8LoA
Y9LCbCMWQLHkAwK3dh47xLKIU+Gs8yTep0b3TIC1I98465ReerqTb48KlmNl+IaKU0/MXjJmXK0p
8Dp77Lxyez2eDBHC+o/XYCHa7LowraiQgfRQvAqnqxOke4aBA81wUmVJprWHibdsktlJISaHNxhO
w/SMAdtUdoyXU6z9eYOVefY2qeLtlkvetFwfI2YWVwj41vCaOXabYBHNd968WBy+hqD8NjTz7PGj
bLHJYLiHuRu57P7n8ygFWu2VMiKEk72gbRI91iKE87MPTUpZayfjwmMsfs6ebB1T/iTaltvDZXBT
+BgmZo3a/8xxU7GK7V8BSIrbwC2V8/hzqJ23H//vIL/9HPUPH2VeX9JRAkOGgP1rXUayVGcUaBYe
evCR7gKq5QdIxT9SVsj7dCfeXlS/zpqpRj1hUvll56WoxuFbWqC0+QGYKr7oj7PfNvyIjyIpd0Xx
BibVDjWiLenNW0AUrNE4d4fX9G0Ee8kKIq69PVPhl5zRcFjvIuNtUOKt5uC+vdq36RFl6LS7xwhr
QT4Eyhb8RbuhzIZT7qntMkVYRHxxAfcSF08rLhqTvuJJg2143ybSOgFIJf/2g+2vYFc58nuBiFHo
3Y262G79bUAdzEz4R48ifRgfHVd0dXW5AuOx8pxvdTqgdiUeoTMY9nyr54yG91vOKOO+elHeMX0A
Cbfbw6P4y3QdqdBvf9Cftw+wLkgAA+Nzt+WAxOx2/92Eyo95muDK5uUJzST+bjEEXh5c1OMSe/o6
eJsrZTWmOj7/HPK0mhW3Y8ug5o+wA/RcvJJlzT4P5nON3Ccytwo9KyBMeNnRFM0zLi6qoufIhJQr
FduGMgglA15TMV3GPe6Q/mFif+Vr9TJFVXKqSRbtchVgwg1aQ4f95ubTpOFGDMtGDEAuvdSb+PlC
DyMfJI2iuWvRj2zultZQGhQudtzObqBD0WAdoTOKAkZVXN0r8n5+Rk0d+PURRPc2901KKK9ONhh8
Igzej80EkwDhDn4EySGcZ4GAsVXZL25kK+JN3vQ4L1z8LJLT2yxUdZqKhvPuN2SgwiC4kFXBcJyD
H2tm6JOGARszU2frc1AkwIKfBoiWJrpAGHt7dJvmyIhAM7ZrzROBFoBxGq2uR5TTihZ8d/Cs3GYN
Vbhtir+VYTCaMPw2DNDteTXusHwgmDTw80NJgdfZlc1KtTwN/bpLcTwol6i9DSSEve4QLd52hqUB
ODKv3oosqweEAOG8blCZjw7nAB8cGP6PgmLGsZxaKC34mipwhohL9NK2nJ06+r0UJsQ17qLbetKh
KWkt5HUCEBlwU7aw540LkaY6cdbbBm8qg61U4ENuo8OA4ycArWu1NDzlF0N6ljlXJhuVKlGcBfZR
bLxWwk9cZ0GkoS4AQMiONqucpThFRopmBPvheCj3xBSBopcwR1ty2LEZ4rQNWCpceaoI118GtBXZ
NubKVx6T720kK91TXw9KtwzmK7MKKPAf63UyziNOCJqqwiqhaL8Qb5lfjpErI1DBGdqmkcRwGjuj
Vm1VqgZ+4lYLQE7fIMiULsXgvYa2iZq7KBrkkp1Cvx+187cpvcpmR3a0oBG7saGqj1UKEkKK2kxo
av3JzfGDAc4ilqCwDyYmtxm+p3M5D/4XKKuUJs6qnuY23cPlG+vnNZx8mD8Tu4PlsA+8gZwyjkWK
YDqzvK1Sfz/zRSdGBATQW7h13X88ydu7HNDOZniECJbtsX6Em6aZt/iXIurPB9n/tnjLEQeK9tj9
6ElkFYQYF6Es/GyJiVDr+cgCqhPtkZP71rEpm0yylHOyxexu1YsnjxULdVuVCODwnZ9TlpySSJRC
FeNbb1X+LZw6+V5ZaFgx8iXKTe6nIs4BEhu3oycQLit4w0sscLdVnjvrVg4c6X7xAZidaAHmhPkd
unRV7qjGbndel0i7vPy8kFApWxqGl7zstxNbV1ZrXO+qTk7hx/otYNVvhcYBVhqzwWmGrQg5qkiF
IXSEduizXTEADn2cSiF5ZrjtFVOp9PMtjStAizmP8dxstzX9WHDwa9hHIIdBviGV8bfm6aEzdpuT
cbaibwMCYOza9lhUIPuz09uAUN3egl6dRFuKFSKfVF0XfgDp+Q+Fr3cHemo5xAdmMAp+G4HyfbG8
0LBHqcL7GJ/3EXcd57llNQDTaO4GxGK4iQZbHkZhRgOUe//D6e7Xs912eUSKI4FXkvC4/ruDLdrY
vWOgGIDX/xEaQZVs64pzACvp95d61xZgNbmojHAtSlb8f7Qd6//hQAj6ZUgyUsn/zhG3tjgGDTIL
ww8xFlY8aRoV20udsDhgkoQq5JX9DI6/v5dfSwjChS7If3Gkj6jqM8/9X+8lmwOf8m2VP6b0CqOX
UnhbPj6OMEiO+NX/eZz/fcGN3wiMIIEUwLt+V1ekVeB6QH+zh8F2bBQ51H99GS81Ye7nyv79A3pb
2e4fTQuekNotes9os/geTbZ3F7RNFSIC0kQPPyOG2VxNChQjAReKkwUsN58qma3q42SCpTq0U7fF
80ARGjAyCtmP/nBHv850xpyjFDoxNHxTgYvp+2bfkrqOiZdgeGjeFpUhr2ON26nOiOslSDpeQRFC
Vwe3Dc+MOxgcYIiYeMgAl27EcDnZn0Qb9MjbWkLLAkJRDvw46wNvCbDanCf35q1LhwPBFmZ//xDv
XyMvjgaNK+iYeJ6XvC89se8O2rfOfFeM9RaZ1h+JkBxFN2G3nUzhHxwJ/3/XEy4vcvtPFEXvirOx
JRtBJ2y6+7ntoVMG4d7tiaw9dgll/j8qrUEG8RKw+TxfErBU/xUOArQFPRhU1d3btkSSvL2NuG5Y
F904bBvG7wf0XReKwx4IjZRmPNcjYyYG/boSO1cXgGZl+s2tKOj+nIB+VG9JlcJ5jIOXSWZ8Qdw2
VD5C/SDr2TQakrYRFlNn46fKuISLP9zXG0TkHyuIah+NOAxa/R+AATzMfr0z16WzEpcFNiSr7xYj
zGK7oSQmF3uU/u8R+HES7fsxpzqagsZeOe9hYZJrr71mv4VGjURDLand3Pgh1QMXLKPIwZmjj0av
+i6zZe1ZpL99mkZfxmFoOcioysce7Ng20wpbx+3daMSiTAmKZTeB9foguk/fOnI1qrwAhLOuBTB7
WyMknQLlmeaoxIvdrYCQXHBUiDF9aJxKsm/8TDFih18rdvVbYkCODYsRfcstEL0dFuofo2mK1mf1
cLjbNnIzQwhwLnpkaZq7zp8YbpKkaIrvghFJQhLAt+xE0rTlvbky8dbN20W33grSUmFbdIhQhkRi
+79Fi4GNr9j9TEV+5ED0xgzjuw7Jtg3HA2jDS04HdYSeR9JzSZQgtr3epd9Q5vvGtiMnIiryTdU8
BSSuaXCH7UMayssqcp3tOD/Oikrp8naSSs0ygtss6qmlcEoNJaZPsKsKnfTZ3pn63LjtbghANfn3
6ZDK2BzzIQrF8Eks6bz2n+gYbD0psjhUF+5ws6AN8KmU1IvzA/McmMOpUIPnVfvWI238e+HwOCYI
0lrjv3jCLjq5o/CVyY9dilUHUvYdMFjOsix9q/dKI0TlH7t+4d0ewLmv6JkjkUK9bk9y5QmIWuGS
mZs6HfWIrCCuhiXn4TRRdDbRmx/Podto8xqBpIQkkYWkzN2uRSlcfe6onTj4cLw1zX5Gk4E+fR7d
JC2Rtzp1IPQBbv/MlChdb5ne0ult23ibGsAUyee6uKk5dKkUpI5EQdyNWtxrxryPuQ2/BqJuamdO
PxGG++RRgqVsTm0pcoEPQG4eBdZI1WEpEVMswzm4KN1gvWyVnS+oRfQPMfThvU1FcReXukGjNJzV
p4xJfRHmAmYMq694rZRsPudu2R9wNnShHhQqPHFcpSjkd+I6ke5LX7McOyOjm8iU8hCDHeXtuo46
wdyD9NiX04e1alAoIa/Wx2Rx8b2px6j9VsjpEQ6VvFahk1+3ALGPYqSIDEAmv5j7KT0UqUk+wsgf
wBvI8ns5DtmhKXB2WcKuO4gsHa6S1W9PS9bRx+2kCPnTydIBjO3ik+FPXiacqF4x4ZnO/lJkuNwB
TK0ttlS7Ja2wOqjc/lGGVNfRyULXCbp3nz/B5Ui+Nk4nOIxP7ScoteXR9THLCd20wJrRcYIb+Cx4
mugRsYgqzj5S/kPrudBB+t2jWcOJxJPew+xXBSBhpGqP3tjqh3EOKRkQCg5wS6arYFQLFIPWJJBW
0qxIPpezny6XYAimb6MfVt6xn6TmoFK2xbKbA5H8lWgRtwdchtRVmwIoOISerj7aOUBfmm77tRi1
BycJ7devbjXKGxuH7vUInYUZmomtC5rP5sqSkN6Cg54vqV87V2UdFP4hIfohgW5gJq1rgnUjNAfn
i5GD+WtwHLtHrH79in5/74MJkMAaUZBh5haNbHYgudSEirKp7VU0YXu2cz1Z3i1eTCDmULSfTQBo
GkX5Rl4piz2ALyf/Gnkcu6NW+yzM8s3Fx+Uu9Fg+8zhp3CUhlO1y22JaIJY+OIY4Jt/JIlRfFmnJ
qlwa1DlqWTUohnoPFQMwuzMF2CZPQ78LsDA69xz1IQW3+qPFoufjWCy63tda509DsQyflUVzczfY
CR8ab1NZrbg/eqYJVTMWni2wJbaJuU/9sWgg6c/V16rFnoE2Tfvc9SVEUzl7H5HpTy6lj53ppNzs
Kiy78OuYIAVdUbHHIY6SKRfNNIYMDk5P+ZTfYHyBBnjj1elX5ZCWHBIyrGonqnG4j0xUnwj0UbRP
4QNdaK+H2Nu3oDNMAbO+75DtgKJxruSMN12QPRlSsKd1aNfkPEhg4NXQ5n8tDMi50PE0HUnklkfU
rQTeT+FAzxVLJjwm5vkySmt5HsgkPQjmY/qUdjp9RUA/+FSprH+d13n9a2KCH3DZ9W9DoAFnSK3+
YbCDfiRDdGDIdDMsgbF+Wd0e2awGGjoqWGt4VyxuyF5miUjYa2ASp0UdXcS0VvZy7KpzLSb1BOYs
4P5n/8pzu+BURcH4hcracJ92hbrwliZ9xKRjvc5HzH1sTMjlINuWd13o6is1heYevSv1CVXS8BsC
HAQHDGShYS8ti4eq1Acv0NO1VbG5LI0NeiovSXfOojZEUQpPoB2Fi/RydVR2A3NFfUQutnhKKH58
GdZEf2LDzxHZUPHt6jkabBX4+ibNBDJnDWK0Gin5Q7IuXcB8R9waQ9/+vqaIfo+loxxwCW7ckzLV
8EXqKURnQKzrjUrD6RoAVc35voXnEawwfwvU7GAE1MmFR9dujyxC+CGZ84DaunK+O5kPNu5mQe6/
RFyxtWSrh3iiKJ3c1CKYY3TFelU3OMSkMrsxjszvqZM0d064dM+NVl/5nZxSbek9Q2qfDtUUV3c2
rYCFCumVV2kv/ZfJgd24bwqDHvEcT0+lP8/DGTcO+GJp4cXXYdar5IQ2ORoQbZHIA53YEBIhHetD
kq7oH1erTrHTDbLurnfo2F8vzhAz1pFrtEIWcKZV41nlmcsuHNoPgQ2dj3GXIvIVWVX0xyKV6gFZ
5BnCS9MvxXVb1n15cFQnQGpCGXfOUHbG9WHBYGIqzlvq4R5SGPp4nDFqvcnrq5pTtWr2Xkzmshft
lM231DsqnCEmL/9k4rVf9r3bRDfACGH+G48U8VpzlNbPouT8pogjSmqcYHbYiQEMuph1hF2Fb92u
+rQGS4bu7GIHN52ufIKde5mE1PTPA4JkCg7WKKbH1MlrtFL8vEFKGVpLjiS0E6L8XAbgXnZ+ETYf
exhP69lEnAshpQy+e2PSyqI8j3BDfItkwmoOAPfWQ09t6qqClLKPvLi+0s5ix+pDszhRusJ+Q5HS
tgcqLW294aykL9oPWodVog9LVEUNRItp7FkPCQ3KPewbvz2GHr4MUPXpr6IOTqF2v2qLBHvQLrRu
4qmqL7oyFP0xp9V3W5cUOg+VxTMvyJHDOqCGVaB2HVXKu6xzJWkoolWIeoOhf42/s75zRGpjtNkz
tC/jsA4oplF1e/ako77Pm6RBoCR6332feTjrYc4yITsZ2cKB1DVuYDKzi4voYXHCHhnyYYJb3+yJ
pJof6LHBteU3Kg9elRyDbPwsUKu2mKq2sYfijfRtL8St58zR9EQ3ts0uKtQHvubz/LJiiQztTr7k
qRQV/rymfTSAM44IV0JOZO9wiRGRon8Vr9fN4jd3Kign7GNUupeDRIg8Bj0qd20r2kfVNRFaetEC
ma0MCa+zbr/pPFtPcd/Qesot8sM128res6MZDit7TXifjkXwGIMAUodypljDdGC+4HZXmu9eL+uP
csDO9DjGcX4z9l3/OA0jKvPIHM3ZJWVfKFlOa9PLtq+Gg98NzQkPGfHY1a53THWBV2kmnFtIweG1
L+k69jkq9HXKqejg+9n8tZvi6bxa30eaIGYPPkB2HMaj9CK4dXVi9KVUBhOC0bh2P2BfuA+jcZa7
1IMntu9BNE6XY8TDHReq1I9rpsrvCJc2w7miQXZQrEmzW5da3bHJs/ej+9Mcyor0glvIHth0ytOE
RO4e/afiGaUm74XSmT2BuknPUDPbUyzj6t5BQmk/t1Hx2e3ap6YCypVzbjvFflZ9Qc5S9zsR9GjJ
uxm8SD9A+TFTtkpQXJ+QuZc+D527lKhLO+9BggYfKk4lVzPk4G91EcQvNep6n2svMDfwoEEYyKG/
DKj5PlM99/GqSFeLHT3ie7dRlgWkrcTGbQ6G30Jch12y9nbbtK0/vvZz4pTHJirpZFIN7qPLTnRY
bo6qtJpm0dpT7cPjAf2ThjCCAEpZiVvk6/3Xoih0jdEO94AZToxgd83f3VO/Yk4UixSXbTT58YET
/Awh0mH3vmplr/8jObQV+1oGgfvCvou4e+okZr6A1xUdtKycCwiG/tPW+D9561xPUNYd+UEIW70i
xy/ZHTh4nvopA87UZyK4ofemrnG29xCkyMlobuw4yVe0Lm25H6kTzrtybnB10gtrhTXJMW2SlCG/
z7SdUD2q5vnYVXNwRZUZ8UJTYoZ0seE+/wrBgGanNi70dbhwfNs5ZCP60GQDOovO0AJFdtdZPOux
ab7EEj55PQbjAUXhwb2bTOw90h5LUmA9pHC7SJuiORtyqiuCX2eOdsCGiUwuJfMEhoH5TVAYD8fJ
bIPSLa0rkC6RM8QHICVMon1YoI4f1vMpnyN6IW2N3jo5mjpup1hI5Igk4R8h0DBdP3fj1NUf/N4z
I4JFI44VqJJF/QpB35vyZjkjK1V14YcI25kELeKhDL424D6hxM1OYqvsRMertu5tXfQR8pYctvGG
3E1rgcPQPma/xdqjoAGF3sAEyDxcDt28ZG19vSQZFZ39iCKsJ++bGeg0isWgz9PppCY5lJ/zvA4R
aDEsFfogkISCTu1mO2BLccpJ1brLqZic9u9xQCtSID1Tl5ti1kCz7DFzfZonZ2iOpe4Oagkdt7qv
Jij34jl0wDshMAy53dB+sYrH/6t10thlHMeqWw4pXHzxWSjhF49v1VZHbh0D3aRbbdP3Miuv0xQG
ET1TwjjlC9bhGn9HNN+10Rlg9Mp6GzzUS79M0hQwkbsEFLjDwTarTMQOQTjWz1NBPSG50eST9s6t
Usxp9hM6mUN9XmlP8bbY8aoe8VwEp+f2IDCMW7rrYOLxsLXtgUmMaD6PWJ8+BlrIMjoiAVqUwZU7
TcPSAyQqNSkOR4d8OEmZ4JwDzq4/oN6Z3/qgscjcZUrEXFIM2rE0O5c6xnteUkadKYWWezBRE4JX
x7yzIZLa0gCZSSkddD1+y2R+CQJ7TZTRxpozuIk7LxxSFPCWNQjPNO7aZ5lMzZMDPEbv/B5O3A6S
sF2PwEXa725Xk2QBykec6dhHI2p1swJosskaD3QPV6RHf4D/r9Iyn+8F8NYLCrnlTe9mwb72o+m2
8palPcqgBW01p3RypdM8Vqk1MU7l4RrvUBZa0CzqTN2dlcaiU9tE4lkHBrr+joZzVhNaQ0jOEfvo
dNDBujyMJfRj8gOnOZKAckDMKinEWUWhxgIVzYZXZ83sAok5xyHsIYEVKg6m7LpvCp1mmN3VzMmg
Q/qBwwgmgcWRbEKNF1OB+fH33LFbwYWE2kdXqC7yE/SxOXNO7eQloGv8zeEsc8Mee7zFHS88zEa/
NHMTUq9EQi/v99QTS8EBNV7GO4SC3Ongu2LSn8EugHvYKQlMbg8oY0Dda/J8gEHUtu5yDt4oCw2k
4beWjpndmaCOj3EdNVeYGqH4A3IazgfgOAkRde8viBMnncBbMXZ0gRPVwouJLbxTjB4wGEdMsNpP
1MteVxAHzI0s/Tg5bs9zrvIUedLeL7zsQ5hmCa62gCP+ckAfUTvExPbGIQyPL5wtTfERdV+1JV0B
hFkymOhKhTEiw4TIYDkHc1jBzg+yW3CO+fdcoRmxS8yKyzFUAwoj61qiV1e6Bm08Md0bhS/XnYRd
R3s3bnuiadzCNqhF+uBRPYwPaYULmUfNAncpwC3/MUEIvVHUYwgrGfXvwSjxOGR5f9J+536O1Ojt
0hggYaGaFYj9CA0ZWtZyB9UTOT9/Gme4Zuhejbu0nNP5Eusw4GVjt4LnzDODYLxJMXI1isMwcoIx
Jn60eGiUugF8x0M+Qx6nRANhodxpGYMPDPIRke28W8bbYJLTTe576Bi7IketDCSD/GRsrIEN646n
pJ0fv4SqSPJdS/79YXC2hHdMwk3Z2Vk2Ij0+XuBJ0KzFB35OKqBTVEvu0VDz0R+LpIRSPYOQOwQI
HR7XYSPf5wI8HLiPVh7mQP5tkFo5+tlo90aL5UtMtJjxaIJhjb/8nDyMQmFnqR0hBs4DJUWg1u9v
gybzrzE9q2NwPtnS7pSXpdeOU/ivS1PWm9bFeA/YrsJHLvG/QtaZOhoFcbpAFB9RIIxNWC6HCS0y
lOZVorPjVJRJQ/zFT+a68vwFG6vIiGcnQxDljsIVshkgMTbhA9l6X9Cey3F1BElx1wMRcY+xEQtn
gtSHljBkrmiPrVcVn3C6UWbPvklWR3p+KAI1/PA/iz6YALcnyi49OjlNG3wegEnku3lqvgRj239W
aBHvihKnzhhIJEinfGbKN+pL7hg3J7eyzt4h87hVE6yjkbLLS5dPzqWqWNQHVdbxBz3p/koLREA5
kNc3lAXiCydzk2cKxmXMNMijV+kjYWZDd3yY1eJjZ9MjZ1DN+M2Qrbkt2JeOCk9MC/ICEY0Os2Nk
vNSuLVN77sTmzwKJtzwoalsHxVQP90MgcDELUu+6W/oCcJ/xPhfZYj+nmfZ2cpxcGJ2oUbdYs/4N
Ltg9hCLUTwnp/tkLM++1B0L+GZODRewcy8CB2f8MaSa5tXTpz3LWrLpk+grCWN/LCYGRXaJ712Md
rPeINSEWqLywPbMfqI5jxhgckhh0Cb99YwZf/aei1nFILAeV/8vcmfW2jWxb+K8E/U6B8wCcbuBK
8mwnsTO58yIotsJRJMVBJPXr71ci5WPKSboTBjhkNxpISymRxapde1h7rQ1I79209pTko2RH+rvA
0/T1TCepf5GmMWR+U6CSoaY9NCXJ/+wkTEkHZV84oML1dk4RmzakewLaZJ3eZXqe6MabIoCQsT7J
bVuAi7INrR1U+Wsa9DeUGqgYJm90WInAj1QIjFNXQKywLrwLuRTiABcgsWFQXfh1ZTwYsZ6E50Fi
rwt9ttAzGU12ewuPYYbxCoGj0PAFwCFwFN+E273YKDvcRltuUAQIzUyuL9BOI4k5RcrcONX1uLI/
w0xRYFSgn4ggf6ksw0MfBz8PoMFcakwXscMN9ANb8MS48cCiGlq02TTg0OHNa7ZemqzkjdRY+ZyK
JEi7kzytmtCj5Oi7IXCf1F0IFDhrcEMVBM6Wnby53Wp2QQjjazVkpR8Tu1psgzmVVJu4j54fvw5e
B0GSl8k8r0zbVE7kVCvzzZcSalAFdpPATf1mViU6Ltl0l3pYhvOF4PlzZiSsxZPopis7EVyR9dba
fCold6ciBLawQz4DzG6Z9RXK5cTLV0EDJYWJzqljI6H74+pcvyxK0dCioE3rrEOhErj0MZuYbzT0
8Li+9RgmqWgCWrcICZRwI164lFCV+oc6Zb94LX6RLm5qlaJ1mNroXr/kGXiB3JxdwAIWr9btL25b
+IlmwPOrExB7eglabCvXsD15fkBNsH3knyK+PlslQoQ6/4/4Ww9JSqOK6xV//af3p/fJmn9/+JUb
/yFL8uRrcfyt3rj5X/uP3VUiJGd6fzjZ0zDclqsM+oW8jNp76L75bz/sZLX/gfhapdOVzsWn/pAX
8jdvshVkVH0eh/1f6ZgcaJud0FJG8UeF0QEfhDrugRZP1SeAym1Kejqk5XzriRZPNyfgNChNEzjQ
MQ4854kaTxea3PSvW6BHdDpyZeen2BxUUeF+VmemjQc0gWWohqxqoCLUoxp/mJe7sCod/20AjIGd
pikyQmuZG4LFXaS6fgtuMsvP0BqIs1OoXBXHgD3NN2fhYptU9euNhq+G5iL8u+RRw0K7g1YGNqdP
9ElICF6bIcJjmJ4QLUKhsVVEG/lxLacVuRCYXnybaFFocqmlkkD+m3hqaG/PEkd3T2jdCC7XQax8
1Vw4+ki80EcgCU2w2kRmwAqFWGri7uCKs6I7FBQXZ7DK7uaaE6GLifQmOn2aWdIvQSwBU1aUZtgV
TZc+UNj9AuobjlmhXhZr6KOYHopmvtA2q4XKmQVg8jPak+qJLqdkJrPY9O4yS4ik5UIvbVuCSJun
arXOTrSUJ0ZlZFeQnNpE6dyRPe9qA+Gfu6VUXLiV+QW8fvEh35pe8JqEqTRHF89642eyDnTehwth
FpkNKFCLrMd04dRki3O58BvSYQVBKG+iuV80cLtI5KRKsqwL9x1WagEumG6REHVbb3vh00x3tavq
+l5H1dU4QxVCRotH2544Jv7kDKAp8pkW3A7u1PK19FOTQRXmAkCEHsrari+lPJaTqWTYaTkDUmC/
scPKwp2MdJZEsPNVofTm5bt5YOR5Njcjq/mboHJjvuVJSCsRdK7rOc5qPfflUjvJ5Yw0qhR4X8FN
6CeeUBLMwVGfVi55U2Pjl8iZeNbtZqeTho+90J0DjIJ0iyacyyYhcSivN8otOdMKlbK1ebnQrQZg
RobGYQU0fF6Dc6BpSSH76DXJ2qN2QKMDPX+xlF7rLvwGNzI1Wiu9VEO9shGGQVPbtk+YCB0Bm60X
p2/1cAP/4y72FTRUNb9xY0gHfTObInGrX1cL1MwRCo8BrpDNVXQNJOCO2buF8VSch8rWgg8g9qu5
JSEV8THKOJqm1IpllCFh+JpmMsSaM62uxWGqEipBLrTInGszdb3H9cZq0hnprdCCkqlZS9dbw3dz
KpU1OUfJ9q+3kBhfmYu4WiJWaMJSllclXHWAXC9qt/GMWU4kSPoLODtqyKhGo7IOcRL8wwrMYrOK
2ktxLmdrCwi477/16wbGNG+DBtA0yaB6OEugd6ctMW18HJkgodSRLtLt9prAqCSNKunaLPF4m/gP
6y0kQnSh76YBBHTuWzOW/XyWwUhk3dSAkV5HuSHgqlY591zNbVhxOoS9gQXTWiRZ/mspSSIkx+F4
hrIO5v9sjuR7da/6OURaTr1xqSXnd7u6CHa3Tik9SDsnZk9JZlLPbHqejdcwmeS70wI6ARI5UHnc
14tE1qd2U3rvKc+qyRm4g4wSp6wjKw+3TFGcY4mad6QW6uQCkE9B00YU0SISIeJaXVjBQrvQUMD5
inb4B6M07WuN4IEWhFCFyroKcRsvMhzbuZ1KCt3fuXyzAzR3i6PFfsQ/CWg1dbFmBjTlwNs3ATlk
zb4MJBu1KLuS6vq6VqrkytKI6eb8UniGQnl+EimuYGjmXSWnLlR6c5rZtFspbeTtqQbSfA4rsnqV
mIjManYgOScSWpoebTG18p46mD8HM6DyntHCDb5kG4sqLL7jBzpotn9DVEZQnSW6zl7Dn5pDfo/+
gALV4AUM/vosonM2PzEhhcuu+IJO8kUi+zE1VBOy5Klp79bepZ5LBj3gDfF0KiMuAIHNvIbOjaYR
k+DEMDNXUF6n5FY3mZacLIp1RQk1obikw8SWlvaUlvHovdK42sdttfuks4QLkMU13jvNZ+o54tbW
rWn4ytxFPX1eqB6oGycmnRbvkLCKJDq2EEWv6rt4keuvo7VaUkeDrUO5qbIkudkVOzM4szcJgVVR
37tgi+m4gltemSs+DJqz7VYuKIZvg7q8QfZUeb1rlPxuTV6M7gnOL/dWqbeLTJ0GetTsmvO1ZhWW
QWaf2tTikixQBWrGDpVf8KeGuEo9n+t7jtkI/SmbjugfuVPzVbSsltnquUPV/p3On7KMCTKPuibb
uiXQQsJp6vwpPkIEE26ZljFL+EwHIRFnQiGOdhowoMben3pypzR7otNWagBvhJtcoO1+xp2CaqTv
TqFAKbCZgI3JtsHccQyZDAMMq0LHyXlDM9F9ERRxSkCoVeUUA5nMaivDcKWb5m2UqDtRVUadTbYc
qBLl9DSAPgbxOm2n3C+QKCbxG6Pe7EOku6oLU4SFKLfZC/oUhfp8jIAFfSDRZ12i104r/RQT7+Rn
jSYD5asdqm9Mon++QNztXQAX1nWNCvzrKDAKKCFKBOisTb4g5iR/dkn8EXIYUysCQQ/GRdQi4JbK
rgClBFNzDTwJ4ffgrOLm1KlGv+2FtfMXF4mUFXecBWgC5/7nwNpI9360Rshqg4y3TgL8rHRUF0kJ
GolTO09RZ0ZtaF3nt1vbfTSkkIck4QijIxZVbeCvdHCxGkMDdwuC+Ex2w6/Quvv0bznknmMZDUZy
1QSUmyI9RaS2uPO26q0JC8jUt4obus9hfFVRK1Ps94tteUPGiAO9jt9Vm51yXaMmBbVjvJ2qlIT4
z/o6adbXup3eL9akRHZKUV8ixPaZk/vChLl+GmnabdiEnzcGkgJWkryrA2n3d0iv1TzVkFAOcZZO
SU9s0aiNZyzB97W2OIH61YQA1hS3AMDRYGiq8ejF7Cz5jRZK0mmxDZN3bu5EH6E00z8qtQZKREgI
UiHSyH+i8sbZtZl6MlWKXfoWnN+OaFi6LOiLWSa6kr1PnQISUp9ayExLoxMAWRRDKuN8Ye8wvEax
eUMkn93rof3ezBGiT+rMP4N1F5zNgtztDnrRc2dj2mAK7A+wP0s0U2jVBwoRnMM0dkMB7ebrW9VZ
lA+STLsRQuKydluAfHi99jceGAHVq1E59Da7k8iL32mSAloDDk9vribaXR4Vzild57Q8aZ4JtM9U
IOvd+nMvwivAVdw4Z9lGS8MLN1VA2kDOOQ0AGtLzuKXkqip1eeXivuAvZpLxwaLh6Epfm/JnnQef
5w2F/7UfkEM1mMvkVLEz8G5a3chXVbMxoNMKZGNqIBDbfAW1tpPObI6MxdcGlt2bSM3I2LgxmncR
3hyS3HDKputAaZG8PxU4j9nQdw8i4toXkTMheEs5Jz7d0yG8T37tSz8e6F+G4hqUg0dnx/6m9omA
H40RLQu/KB9Xf/6BbJSuKpqlEDfvL8w3eSG3+1jC5ZzQmqFRSmqPqWfT870J+PGzvUxQvBznR/e+
2uc6Lh65d1MVVCK9VMRPP789MXXOQRsGyf1Foun589syvPvUNqCcepoffnBEs8B98c6GTYI6gWYH
XQE46L61CGxzwvkNyQf8gO21/8ERTQLFbQ3vZtgsOLCFmjrUi6L3gYsF/3wpiMSVSReg6Mw6fD6u
paBpij54FhSycxq1LHh6Dk/5fBYcZomVAJ9mtxbaHTiitQAJjz3YLDoT8naOBejgacU/nwV2BLp8
Nl3H9FGJiz69ca0FhXQ8mcthO8KaGKpgTRW9Nr3HN3h8CwSuSOSKa3yPD19Ue1NHB/bPnI0qZwPN
8vu2I/GUx2eDRqSEdKMu2+0iaO3wiLYCOAV96OGgqxNS9Tyl9W2zCMmyKRucDjbTM649gDlUhjoI
ulDxgVWN7muxBF4sAqzkhNOHU0P06o7s+WlIoboxzAZg73n7rHDj28+v8P5hFoVCpv2pES1/jrDB
DrJqT+DiNBRVI6/Ss4HqZK8mTI5krLsfcrChr5/lb7P1HRzk9vW/PAmwCxyU4rgU1/gWgakIQsJh
m4CcGJkh4fW07/rINXTsCfgC/AFUvvbX6Ewh3Gadff7185CTgJI7FPy6/rTin+8IR5sIb4jEWPf5
6NYCIAV7qFfAjjA1B6QD0VJ7HdkFZ4LLhMlwxmoXxLE42DXUJo7gK1cPYcJR3oC42YacmShirHYB
xpruxB6wIzj74HOA7b9bCkfWEd/IEP37dCW3XxidhwjCQR9qHXVrQsEAFi/7Oy6SKk/QxiEeYd2J
q/3BETkK3wK1/GwmSWdHgECBK6OLiY78BWU/C2yIrt4zoscXTKpDI2bMIi1AKv8cWQLkWeBOhdec
JOL+ajMUI3p82rCGukkUzRwH4iC63fcr/EXuSDYmhr5ndB5bkKAgqjP08RWHLKlsU0hkpOcugWLw
3HCJi2h8pFvfMNXBIbI47EwLB7DLmR1vAYtqK8BXvMd2C7RB6Yi2gHDZBvrIpj6Be9xQOOnaLYBF
6S8FdaJaYIPhHRrdHkB6ZuDjU0hR4aYhK6i37/goWYQjhB3ED2C3jXQnyMSzQ2cBOyhShsbR4WeZ
E7YHE+R0szO6JYC/zj0PixKtiQrhCmCLbgccRYm4wphJS6XY1jnFo9sHQEgGG0OdWNiRLfXwkEc+
saIQQIluHM7KsT3/N8A4P+sGag763YBuwA63duB4JxjUVwAqa8Bh9tfo3CHwykMjAowhT0c6RJwG
4jpaAw65MxphhJ55e1aMbhJw4lEFHGYPyJfw6Pi+35kFGhiIi8ShCdXa/hrbfoA/VyjpDbOK5MaA
0z8Ff/KRXyDWAth9k0i0nYTRZY1UOv6Heke6TIxM8ZiOlXbFH7mINiV4HCME8LqjoT2MRuQiamS8
hubONBY8XoAsUkP762gWLNAYeMm2fgijRmcXIBobvCPoZWEdAIzHQu6vIz/BwZMWfjLe5OgMAqWw
wYcDIaHG+Y8MaD9CsJyJYgsOWHg199f4LAGQo6F7QGTLQFiQGu3yIUcOgigoUlbn5Y/VEqjIgQ1d
BOJs1JCEFaCi/XVsCQwyq9QchRTq/vpfrYWHf69q/B1X8WiEZ9g7h3oJaVOesr8RwNiQS9DIlnbu
0+jKSTDFCDT5MMfAAFUGiEgmQb6/jswBGBtEnoioDqi00VlDxaH4O3QW5An9V4QMx3lTR8GHViis
owy7v0YHL8Av6lI5v15B0TgMWOlUFds1cJw4dfAYgJ+C+O9qC6Pzi1TFstub+vVZ4EwAQIOYLVii
/XVkDRWZzAG5NXrCx7cKUPQbHCnJE05DOO/ppd1fR6bAImVg2UhAHo7E0c0Cy7NN6g5YBBQLLfKn
LIR2Eo7cQgoptDiTYOws74hiA4yUaDsadBzQxk3mEKy11Xl/R2uAQxE7KVCnY80ZCODwwEkQdSTo
5fENWeHPs+cWFkIRDfDk1kZ6GtAy1p7Qv74FNJY4mH62evuQIiX7fBZszCD1GjKHndf4v/IKl49r
P577eZH5D8Xz1jwCt8GVFN3A8RG1gkMKEfP6fBZMZ6LigSPf0fnGo7OGQLAHd2aQMVHIIesUVdvF
cJRDZC3wMyJtdFgs+703JqsogHEDDQKoAtMmCiI11B4KR56BQJhgMcmp/Lfqhhn+V7PwL7701PAE
SUr0uG918lf5M6KRf/zCoRno5QBdk4/o5FHhb+l9UZCQtEO37T7iz3/1Nt3+EZ99eHjk/e90f717
wJc/3futw1Md/ue5v8qW2YPX7D9outsURC9//vF/0fLLcr3s7fh9/81/7+TPP3r3+ez9/8PAyBb3
xxWGZPC4aKAncX/gfbFz+MDhMs6X+eEWxWtsKwdDR54tI/8rRJd+767b+tzgsaF3zpaPyfO7buEf
w0eO49VD4T+UvfOg9QuHDv6DJvB9N9w3OXuevLEfrbvDGfYq+foKtcVy/aU/7a1PM/T+T5l1/7H3
Pjts9tCR6fTP3P4tA7QSrR9DRz6n7d73D+Psl3eLlBk68MXj0ustQKWtug4eN4pgxfP7O7I9iAcP
HT/6yyMr0nZZDR45qfrLosUpDx326qVtamHggwdmgPIhbHrrom21Gjr0dVL6+YtpblNMQ8e+Wfrx
qnfPrZ86fFzEKZfx4/Ohcc8FjmT40Hm+fPDKfIV2+2G4vbPQNjUNHt9/8NDj6jOVtR0Tw4fmLIAw
sreyu8rR8LFRUeLfNO3ZJiq1Ivr6HaMnZXY8tKjUDB46iYsjG9KlzoaO/Hr1JVseeU9dRmL40Ntl
/9zqOo2HD1y9Ol+u09zz+9wujC+Cht8x/uUqy1c9S0XlRuTqfsfgNyuEE3rHGIOLbqvfMfjfaJAc
Rtpv+bbiNHjoBM2uV7NllnBS9jdnW9f8PT8wX4bHe7+tGw4d/o3n92e8BSYMHjaM8Ej6UU2X2x88
9HfJIAf6rW9XcZw3ERIUfecPujIB5x1633de8rh6dZG/ONvappGhw79Lyu8sxK435/f8wMuF2HXE
Dh3+PbO/yvNVz6XoaoLDx677UWXHajB03A/F0jssDGFTSLGJ5tihw35cZWtOtsNA+5HbdorBI/tE
NkfLuwPhDB3605JzJ3aLPk9r1ws0ePBVXrz6+K2bb/laBo/v5w9JnPs9z63r7Bs8NpyYTEzvbbZI
wB+P/K1M01MW7mX+6cCB862/1k+uiW88RKtl9tf/AwAA//8=</cx:binary>
              </cx:geoCache>
            </cx:geography>
          </cx:layoutPr>
        </cx:series>
      </cx:plotAreaRegion>
    </cx:plotArea>
    <cx:legend pos="r" align="ctr" overlay="0"/>
  </cx:chart>
</cx: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ttps://drive.google.com/file/d/1x6xfCs6_z-I_gZjArKc7dV3pNGKk9pXa/view?usp=sharing"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xdr:col>
      <xdr:colOff>304800</xdr:colOff>
      <xdr:row>0</xdr:row>
      <xdr:rowOff>330618</xdr:rowOff>
    </xdr:from>
    <xdr:ext cx="7010400" cy="1344727"/>
    <xdr:sp macro="" textlink="">
      <xdr:nvSpPr>
        <xdr:cNvPr id="2" name="Rectangle 1">
          <a:extLst>
            <a:ext uri="{FF2B5EF4-FFF2-40B4-BE49-F238E27FC236}">
              <a16:creationId xmlns:a16="http://schemas.microsoft.com/office/drawing/2014/main" id="{00000000-0008-0000-0000-000002000000}"/>
            </a:ext>
          </a:extLst>
        </xdr:cNvPr>
        <xdr:cNvSpPr/>
      </xdr:nvSpPr>
      <xdr:spPr>
        <a:xfrm>
          <a:off x="1148080" y="330618"/>
          <a:ext cx="7010400" cy="1344727"/>
        </a:xfrm>
        <a:prstGeom prst="rect">
          <a:avLst/>
        </a:prstGeom>
        <a:noFill/>
      </xdr:spPr>
      <xdr:txBody>
        <a:bodyPr wrap="square" lIns="91440" tIns="45720" rIns="91440" bIns="45720">
          <a:spAutoFit/>
        </a:bodyPr>
        <a:lstStyle/>
        <a:p>
          <a:pPr algn="ctr"/>
          <a:r>
            <a:rPr lang="en-US" sz="4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States Economic Dynamics</a:t>
          </a:r>
          <a:r>
            <a:rPr lang="en-US" sz="4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Dashboards</a:t>
          </a:r>
          <a:endParaRPr lang="en-US" sz="900" b="1" i="0" u="none" strike="noStrike" cap="none" spc="0" baseline="0">
            <a:ln>
              <a:noFill/>
            </a:ln>
            <a:solidFill>
              <a:sysClr val="windowText" lastClr="000000"/>
            </a:solidFill>
            <a:effectLst/>
            <a:latin typeface="+mn-lt"/>
            <a:ea typeface="+mn-ea"/>
            <a:cs typeface="+mn-cs"/>
          </a:endParaRPr>
        </a:p>
      </xdr:txBody>
    </xdr:sp>
    <xdr:clientData/>
  </xdr:oneCellAnchor>
  <xdr:oneCellAnchor>
    <xdr:from>
      <xdr:col>1</xdr:col>
      <xdr:colOff>909828</xdr:colOff>
      <xdr:row>8</xdr:row>
      <xdr:rowOff>59538</xdr:rowOff>
    </xdr:from>
    <xdr:ext cx="2206246" cy="530594"/>
    <xdr:sp macro="" textlink="">
      <xdr:nvSpPr>
        <xdr:cNvPr id="3" name="Rectangle 2">
          <a:extLst>
            <a:ext uri="{FF2B5EF4-FFF2-40B4-BE49-F238E27FC236}">
              <a16:creationId xmlns:a16="http://schemas.microsoft.com/office/drawing/2014/main" id="{00000000-0008-0000-0000-000003000000}"/>
            </a:ext>
          </a:extLst>
        </xdr:cNvPr>
        <xdr:cNvSpPr/>
      </xdr:nvSpPr>
      <xdr:spPr>
        <a:xfrm>
          <a:off x="1753108" y="1989938"/>
          <a:ext cx="2206246" cy="530594"/>
        </a:xfrm>
        <a:prstGeom prst="rect">
          <a:avLst/>
        </a:prstGeom>
        <a:noFill/>
      </xdr:spPr>
      <xdr:txBody>
        <a:bodyPr wrap="none" lIns="91440" tIns="45720" rIns="91440" bIns="45720">
          <a:spAutoFit/>
        </a:bodyPr>
        <a:lstStyle/>
        <a:p>
          <a:pPr algn="ctr"/>
          <a:r>
            <a:rPr lang="en-US" sz="2800" b="0" cap="none" spc="0">
              <a:ln w="0"/>
              <a:solidFill>
                <a:schemeClr val="tx1"/>
              </a:solidFill>
              <a:effectLst>
                <a:outerShdw blurRad="38100" dist="19050" dir="2700000" algn="tl" rotWithShape="0">
                  <a:schemeClr val="dk1">
                    <a:alpha val="40000"/>
                  </a:schemeClr>
                </a:outerShdw>
              </a:effectLst>
            </a:rPr>
            <a:t>by Khoa Pham</a:t>
          </a:r>
        </a:p>
      </xdr:txBody>
    </xdr:sp>
    <xdr:clientData/>
  </xdr:oneCellAnchor>
  <xdr:twoCellAnchor editAs="oneCell">
    <xdr:from>
      <xdr:col>2</xdr:col>
      <xdr:colOff>1587500</xdr:colOff>
      <xdr:row>7</xdr:row>
      <xdr:rowOff>228600</xdr:rowOff>
    </xdr:from>
    <xdr:to>
      <xdr:col>2</xdr:col>
      <xdr:colOff>3467100</xdr:colOff>
      <xdr:row>12</xdr:row>
      <xdr:rowOff>190500</xdr:rowOff>
    </xdr:to>
    <xdr:pic>
      <xdr:nvPicPr>
        <xdr:cNvPr id="5" name="Graphic 4" descr="Presentation with media with solid fill">
          <a:hlinkClick xmlns:r="http://schemas.openxmlformats.org/officeDocument/2006/relationships" r:id="rId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406900" y="1866900"/>
          <a:ext cx="1879600" cy="1282700"/>
        </a:xfrm>
        <a:prstGeom prst="rect">
          <a:avLst/>
        </a:prstGeom>
      </xdr:spPr>
    </xdr:pic>
    <xdr:clientData/>
  </xdr:twoCellAnchor>
  <xdr:twoCellAnchor>
    <xdr:from>
      <xdr:col>2</xdr:col>
      <xdr:colOff>3657600</xdr:colOff>
      <xdr:row>5</xdr:row>
      <xdr:rowOff>20320</xdr:rowOff>
    </xdr:from>
    <xdr:to>
      <xdr:col>2</xdr:col>
      <xdr:colOff>6400800</xdr:colOff>
      <xdr:row>10</xdr:row>
      <xdr:rowOff>152400</xdr:rowOff>
    </xdr:to>
    <xdr:sp macro="" textlink="">
      <xdr:nvSpPr>
        <xdr:cNvPr id="6" name="Oval Callout 5">
          <a:extLst>
            <a:ext uri="{FF2B5EF4-FFF2-40B4-BE49-F238E27FC236}">
              <a16:creationId xmlns:a16="http://schemas.microsoft.com/office/drawing/2014/main" id="{00000000-0008-0000-0000-000006000000}"/>
            </a:ext>
          </a:extLst>
        </xdr:cNvPr>
        <xdr:cNvSpPr/>
      </xdr:nvSpPr>
      <xdr:spPr>
        <a:xfrm>
          <a:off x="6482080" y="1259840"/>
          <a:ext cx="2743200" cy="1391920"/>
        </a:xfrm>
        <a:prstGeom prst="wedgeEllipseCallout">
          <a:avLst>
            <a:gd name="adj1" fmla="val -47149"/>
            <a:gd name="adj2" fmla="val 56402"/>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400" b="1" cap="none" spc="50">
              <a:ln w="0">
                <a:solidFill>
                  <a:schemeClr val="bg1"/>
                </a:solidFill>
              </a:ln>
              <a:solidFill>
                <a:schemeClr val="bg1"/>
              </a:solidFill>
              <a:effectLst>
                <a:innerShdw blurRad="63500" dist="50800" dir="13500000">
                  <a:srgbClr val="000000">
                    <a:alpha val="50000"/>
                  </a:srgbClr>
                </a:innerShdw>
              </a:effectLst>
            </a:rPr>
            <a:t>Click</a:t>
          </a:r>
          <a:r>
            <a:rPr lang="en-US" sz="2400" b="1" cap="none" spc="50" baseline="0">
              <a:ln w="0">
                <a:solidFill>
                  <a:schemeClr val="bg1"/>
                </a:solidFill>
              </a:ln>
              <a:solidFill>
                <a:schemeClr val="bg1"/>
              </a:solidFill>
              <a:effectLst>
                <a:innerShdw blurRad="63500" dist="50800" dir="13500000">
                  <a:srgbClr val="000000">
                    <a:alpha val="50000"/>
                  </a:srgbClr>
                </a:innerShdw>
              </a:effectLst>
            </a:rPr>
            <a:t> Me for Video Link</a:t>
          </a:r>
          <a:endParaRPr lang="en-US" sz="2400" b="1" cap="none" spc="50">
            <a:ln w="0">
              <a:solidFill>
                <a:schemeClr val="bg1"/>
              </a:solidFill>
            </a:ln>
            <a:solidFill>
              <a:schemeClr val="bg1"/>
            </a:solidFill>
            <a:effectLst>
              <a:innerShdw blurRad="63500" dist="50800" dir="13500000">
                <a:srgbClr val="000000">
                  <a:alpha val="50000"/>
                </a:srgbClr>
              </a:innerShdw>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2</xdr:row>
          <xdr:rowOff>0</xdr:rowOff>
        </xdr:to>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charset="0"/>
                </a:rPr>
                <a:t>Top 5 Student Success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2</xdr:row>
          <xdr:rowOff>0</xdr:rowOff>
        </xdr:to>
        <xdr:sp macro="" textlink="">
          <xdr:nvSpPr>
            <xdr:cNvPr id="13328" name="Button 16"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charset="0"/>
                </a:rPr>
                <a:t>Top 5 Student Safety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203200</xdr:rowOff>
        </xdr:to>
        <xdr:sp macro="" textlink="">
          <xdr:nvSpPr>
            <xdr:cNvPr id="13329" name="Button 17"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2</xdr:row>
          <xdr:rowOff>0</xdr:rowOff>
        </xdr:to>
        <xdr:sp macro="" textlink="">
          <xdr:nvSpPr>
            <xdr:cNvPr id="13330" name="Button 18"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charset="0"/>
                </a:rPr>
                <a:t>Top 5 School Quality</a:t>
              </a:r>
            </a:p>
          </xdr:txBody>
        </xdr:sp>
        <xdr:clientData fPrintsWithSheet="0"/>
      </xdr:twoCellAnchor>
    </mc:Choice>
    <mc:Fallback/>
  </mc:AlternateContent>
  <xdr:twoCellAnchor>
    <xdr:from>
      <xdr:col>0</xdr:col>
      <xdr:colOff>181429</xdr:colOff>
      <xdr:row>3</xdr:row>
      <xdr:rowOff>68035</xdr:rowOff>
    </xdr:from>
    <xdr:to>
      <xdr:col>2</xdr:col>
      <xdr:colOff>1723572</xdr:colOff>
      <xdr:row>28</xdr:row>
      <xdr:rowOff>76200</xdr:rowOff>
    </xdr:to>
    <xdr:sp macro="" textlink="">
      <xdr:nvSpPr>
        <xdr:cNvPr id="2" name="Speech Bubble: Rectangle with Corners Rounded 1">
          <a:extLst>
            <a:ext uri="{FF2B5EF4-FFF2-40B4-BE49-F238E27FC236}">
              <a16:creationId xmlns:a16="http://schemas.microsoft.com/office/drawing/2014/main" id="{00000000-0008-0000-0100-000002000000}"/>
            </a:ext>
          </a:extLst>
        </xdr:cNvPr>
        <xdr:cNvSpPr/>
      </xdr:nvSpPr>
      <xdr:spPr>
        <a:xfrm>
          <a:off x="181429" y="918935"/>
          <a:ext cx="5479143" cy="5126265"/>
        </a:xfrm>
        <a:prstGeom prst="wedgeRoundRectCallout">
          <a:avLst>
            <a:gd name="adj1" fmla="val -7681"/>
            <a:gd name="adj2" fmla="val 62725"/>
            <a:gd name="adj3" fmla="val 16667"/>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400" kern="0" spc="0">
              <a:latin typeface="Arial" panose="020B0604020202020204" pitchFamily="34" charset="0"/>
              <a:cs typeface="Arial" panose="020B0604020202020204" pitchFamily="34" charset="0"/>
            </a:rPr>
            <a:t>" </a:t>
          </a:r>
          <a:r>
            <a:rPr lang="en-US" sz="1400" i="1" kern="0" spc="0">
              <a:latin typeface="Arial" panose="020B0604020202020204" pitchFamily="34" charset="0"/>
              <a:cs typeface="Arial" panose="020B0604020202020204" pitchFamily="34" charset="0"/>
            </a:rPr>
            <a:t>I value education</a:t>
          </a:r>
          <a:r>
            <a:rPr lang="en-US" sz="1400" i="1" kern="0" spc="0" baseline="0">
              <a:latin typeface="Arial" panose="020B0604020202020204" pitchFamily="34" charset="0"/>
              <a:cs typeface="Arial" panose="020B0604020202020204" pitchFamily="34" charset="0"/>
            </a:rPr>
            <a:t> so the first criterias I looked for when choosing a state to live in were school rankings or school qualities. This data ranks public schools across states on 3 metrics</a:t>
          </a:r>
          <a:r>
            <a:rPr lang="en-US" sz="1400" i="0" kern="0" spc="0" baseline="0">
              <a:latin typeface="Arial" panose="020B0604020202020204" pitchFamily="34" charset="0"/>
              <a:cs typeface="Arial" panose="020B0604020202020204" pitchFamily="34" charset="0"/>
            </a:rPr>
            <a:t>: </a:t>
          </a:r>
          <a:r>
            <a:rPr lang="en-US" sz="1400" b="1" i="0" kern="0" spc="0" baseline="0">
              <a:latin typeface="Arial" panose="020B0604020202020204" pitchFamily="34" charset="0"/>
              <a:cs typeface="Arial" panose="020B0604020202020204" pitchFamily="34" charset="0"/>
            </a:rPr>
            <a:t>Student Success, Student Safety, </a:t>
          </a:r>
          <a:r>
            <a:rPr lang="en-US" sz="1400" b="0" i="0" kern="0" spc="0" baseline="0">
              <a:latin typeface="Arial" panose="020B0604020202020204" pitchFamily="34" charset="0"/>
              <a:cs typeface="Arial" panose="020B0604020202020204" pitchFamily="34" charset="0"/>
            </a:rPr>
            <a:t>and</a:t>
          </a:r>
          <a:r>
            <a:rPr lang="en-US" sz="1400" b="1" i="0" kern="0" spc="0" baseline="0">
              <a:latin typeface="Arial" panose="020B0604020202020204" pitchFamily="34" charset="0"/>
              <a:cs typeface="Arial" panose="020B0604020202020204" pitchFamily="34" charset="0"/>
            </a:rPr>
            <a:t> School Quality</a:t>
          </a:r>
          <a:r>
            <a:rPr lang="en-US" sz="1400" i="0" kern="0" spc="0" baseline="0">
              <a:latin typeface="Arial" panose="020B0604020202020204" pitchFamily="34" charset="0"/>
              <a:cs typeface="Arial" panose="020B0604020202020204" pitchFamily="34" charset="0"/>
            </a:rPr>
            <a:t>. "</a:t>
          </a:r>
          <a:endParaRPr lang="en-US" sz="1400" kern="0" spc="0" baseline="0">
            <a:latin typeface="Arial" panose="020B0604020202020204" pitchFamily="34" charset="0"/>
            <a:cs typeface="Arial" panose="020B0604020202020204" pitchFamily="34" charset="0"/>
          </a:endParaRPr>
        </a:p>
        <a:p>
          <a:pPr algn="l"/>
          <a:endParaRPr lang="en-US" sz="1400" kern="0" spc="0" baseline="0">
            <a:latin typeface="Arial" panose="020B0604020202020204" pitchFamily="34" charset="0"/>
            <a:cs typeface="Arial" panose="020B0604020202020204" pitchFamily="34" charset="0"/>
          </a:endParaRPr>
        </a:p>
        <a:p>
          <a:pPr algn="l"/>
          <a:r>
            <a:rPr lang="en-US" sz="1400" kern="0" spc="0" baseline="0">
              <a:latin typeface="Arial" panose="020B0604020202020204" pitchFamily="34" charset="0"/>
              <a:cs typeface="Arial" panose="020B0604020202020204" pitchFamily="34" charset="0"/>
            </a:rPr>
            <a:t>1. First, click </a:t>
          </a:r>
          <a:r>
            <a:rPr lang="en-US" sz="1400" b="1" kern="0" spc="0" baseline="0">
              <a:latin typeface="Arial" panose="020B0604020202020204" pitchFamily="34" charset="0"/>
              <a:cs typeface="Arial" panose="020B0604020202020204" pitchFamily="34" charset="0"/>
            </a:rPr>
            <a:t>'Reset'</a:t>
          </a:r>
          <a:r>
            <a:rPr lang="en-US" sz="1400" kern="0" spc="0" baseline="0">
              <a:latin typeface="Arial" panose="020B0604020202020204" pitchFamily="34" charset="0"/>
              <a:cs typeface="Arial" panose="020B0604020202020204" pitchFamily="34" charset="0"/>
            </a:rPr>
            <a:t> to reset table to its default.</a:t>
          </a:r>
        </a:p>
        <a:p>
          <a:pPr algn="l"/>
          <a:r>
            <a:rPr lang="en-US" sz="1400" kern="0" spc="0" baseline="0">
              <a:latin typeface="Arial" panose="020B0604020202020204" pitchFamily="34" charset="0"/>
              <a:cs typeface="Arial" panose="020B0604020202020204" pitchFamily="34" charset="0"/>
            </a:rPr>
            <a:t>2. </a:t>
          </a:r>
        </a:p>
        <a:p>
          <a:pPr algn="l"/>
          <a:r>
            <a:rPr lang="en-US" sz="1400" kern="0" spc="0" baseline="0">
              <a:latin typeface="Arial" panose="020B0604020202020204" pitchFamily="34" charset="0"/>
              <a:cs typeface="Arial" panose="020B0604020202020204" pitchFamily="34" charset="0"/>
            </a:rPr>
            <a:t>     a) If you want rankings based on </a:t>
          </a:r>
          <a:r>
            <a:rPr lang="en-US" sz="1400" b="1" kern="0" spc="0" baseline="0">
              <a:latin typeface="Arial" panose="020B0604020202020204" pitchFamily="34" charset="0"/>
              <a:cs typeface="Arial" panose="020B0604020202020204" pitchFamily="34" charset="0"/>
            </a:rPr>
            <a:t>SAT scores</a:t>
          </a:r>
          <a:r>
            <a:rPr lang="en-US" sz="1400" kern="0" spc="0" baseline="0">
              <a:latin typeface="Arial" panose="020B0604020202020204" pitchFamily="34" charset="0"/>
              <a:cs typeface="Arial" panose="020B0604020202020204" pitchFamily="34" charset="0"/>
            </a:rPr>
            <a:t> or </a:t>
          </a:r>
          <a:r>
            <a:rPr lang="en-US" sz="1400" b="1" kern="0" spc="0" baseline="0">
              <a:latin typeface="Arial" panose="020B0604020202020204" pitchFamily="34" charset="0"/>
              <a:cs typeface="Arial" panose="020B0604020202020204" pitchFamily="34" charset="0"/>
            </a:rPr>
            <a:t>student dropout rate</a:t>
          </a:r>
          <a:r>
            <a:rPr lang="en-US" sz="1400" kern="0" spc="0" baseline="0">
              <a:latin typeface="Arial" panose="020B0604020202020204" pitchFamily="34" charset="0"/>
              <a:cs typeface="Arial" panose="020B0604020202020204" pitchFamily="34" charset="0"/>
            </a:rPr>
            <a:t>, click on </a:t>
          </a:r>
          <a:r>
            <a:rPr lang="en-US" sz="1400" b="1" kern="0" spc="0" baseline="0">
              <a:latin typeface="Arial" panose="020B0604020202020204" pitchFamily="34" charset="0"/>
              <a:cs typeface="Arial" panose="020B0604020202020204" pitchFamily="34" charset="0"/>
            </a:rPr>
            <a:t>'Top 5 Student Success'</a:t>
          </a:r>
          <a:r>
            <a:rPr lang="en-US" sz="1400" kern="0" spc="0" baseline="0">
              <a:latin typeface="Arial" panose="020B0604020202020204" pitchFamily="34" charset="0"/>
              <a:cs typeface="Arial" panose="020B0604020202020204" pitchFamily="34" charset="0"/>
            </a:rPr>
            <a:t> button. </a:t>
          </a:r>
        </a:p>
        <a:p>
          <a:pPr algn="l"/>
          <a:br>
            <a:rPr lang="en-US" sz="1400" kern="0" spc="0" baseline="0">
              <a:latin typeface="Arial" panose="020B0604020202020204" pitchFamily="34" charset="0"/>
              <a:cs typeface="Arial" panose="020B0604020202020204" pitchFamily="34" charset="0"/>
            </a:rPr>
          </a:br>
          <a:r>
            <a:rPr lang="en-US" sz="1400" kern="0" spc="0" baseline="0">
              <a:latin typeface="Arial" panose="020B0604020202020204" pitchFamily="34" charset="0"/>
              <a:cs typeface="Arial" panose="020B0604020202020204" pitchFamily="34" charset="0"/>
            </a:rPr>
            <a:t>     b) If you want rankings based on safety through indicators like bullying rates or assault rates, click on </a:t>
          </a:r>
          <a:r>
            <a:rPr lang="en-US" sz="1400" b="0" kern="0" spc="0" baseline="0">
              <a:latin typeface="Arial" panose="020B0604020202020204" pitchFamily="34" charset="0"/>
              <a:cs typeface="Arial" panose="020B0604020202020204" pitchFamily="34" charset="0"/>
            </a:rPr>
            <a:t>'</a:t>
          </a:r>
          <a:r>
            <a:rPr lang="en-US" sz="1400" b="1" kern="0" spc="0" baseline="0">
              <a:latin typeface="Arial" panose="020B0604020202020204" pitchFamily="34" charset="0"/>
              <a:cs typeface="Arial" panose="020B0604020202020204" pitchFamily="34" charset="0"/>
            </a:rPr>
            <a:t>Top 5 Student Safety'</a:t>
          </a:r>
          <a:r>
            <a:rPr lang="en-US" sz="1400" kern="0" spc="0" baseline="0">
              <a:latin typeface="Arial" panose="020B0604020202020204" pitchFamily="34" charset="0"/>
              <a:cs typeface="Arial" panose="020B0604020202020204" pitchFamily="34" charset="0"/>
            </a:rPr>
            <a:t> button. </a:t>
          </a:r>
        </a:p>
        <a:p>
          <a:pPr algn="l"/>
          <a:br>
            <a:rPr lang="en-US" sz="1400" kern="0" spc="0" baseline="0">
              <a:latin typeface="Arial" panose="020B0604020202020204" pitchFamily="34" charset="0"/>
              <a:cs typeface="Arial" panose="020B0604020202020204" pitchFamily="34" charset="0"/>
            </a:rPr>
          </a:br>
          <a:r>
            <a:rPr lang="en-US" sz="1400" kern="0" spc="0" baseline="0">
              <a:latin typeface="Arial" panose="020B0604020202020204" pitchFamily="34" charset="0"/>
              <a:cs typeface="Arial" panose="020B0604020202020204" pitchFamily="34" charset="0"/>
            </a:rPr>
            <a:t>     c) If you want rankings based on </a:t>
          </a:r>
          <a:r>
            <a:rPr lang="en-US" sz="1400" b="1" kern="0" spc="0" baseline="0">
              <a:latin typeface="Arial" panose="020B0604020202020204" pitchFamily="34" charset="0"/>
              <a:cs typeface="Arial" panose="020B0604020202020204" pitchFamily="34" charset="0"/>
            </a:rPr>
            <a:t>how much school spent on students</a:t>
          </a:r>
          <a:r>
            <a:rPr lang="en-US" sz="1400" kern="0" spc="0" baseline="0">
              <a:latin typeface="Arial" panose="020B0604020202020204" pitchFamily="34" charset="0"/>
              <a:cs typeface="Arial" panose="020B0604020202020204" pitchFamily="34" charset="0"/>
            </a:rPr>
            <a:t> or </a:t>
          </a:r>
          <a:r>
            <a:rPr lang="en-US" sz="1400" b="1" kern="0" spc="0" baseline="0">
              <a:latin typeface="Arial" panose="020B0604020202020204" pitchFamily="34" charset="0"/>
              <a:cs typeface="Arial" panose="020B0604020202020204" pitchFamily="34" charset="0"/>
            </a:rPr>
            <a:t>student-to-teacher ratio</a:t>
          </a:r>
          <a:r>
            <a:rPr lang="en-US" sz="1400" kern="0" spc="0" baseline="0">
              <a:latin typeface="Arial" panose="020B0604020202020204" pitchFamily="34" charset="0"/>
              <a:cs typeface="Arial" panose="020B0604020202020204" pitchFamily="34" charset="0"/>
            </a:rPr>
            <a:t>, click on </a:t>
          </a:r>
          <a:r>
            <a:rPr lang="en-US" sz="1400" b="1" kern="0" spc="0" baseline="0">
              <a:latin typeface="Arial" panose="020B0604020202020204" pitchFamily="34" charset="0"/>
              <a:cs typeface="Arial" panose="020B0604020202020204" pitchFamily="34" charset="0"/>
            </a:rPr>
            <a:t>'Top 5 School Quality' </a:t>
          </a:r>
          <a:r>
            <a:rPr lang="en-US" sz="1400" b="0" kern="0" spc="0" baseline="0">
              <a:latin typeface="Arial" panose="020B0604020202020204" pitchFamily="34" charset="0"/>
              <a:cs typeface="Arial" panose="020B0604020202020204" pitchFamily="34" charset="0"/>
            </a:rPr>
            <a:t>button.</a:t>
          </a:r>
        </a:p>
        <a:p>
          <a:pPr algn="l"/>
          <a:endParaRPr lang="en-US" sz="1400" b="0" kern="0" spc="0" baseline="0">
            <a:latin typeface="Arial" panose="020B0604020202020204" pitchFamily="34" charset="0"/>
            <a:cs typeface="Arial" panose="020B0604020202020204" pitchFamily="34" charset="0"/>
          </a:endParaRPr>
        </a:p>
        <a:p>
          <a:pPr algn="l"/>
          <a:r>
            <a:rPr lang="en-US" sz="1400" b="0" kern="0" spc="0" baseline="0">
              <a:latin typeface="Arial" panose="020B0604020202020204" pitchFamily="34" charset="0"/>
              <a:cs typeface="Arial" panose="020B0604020202020204" pitchFamily="34" charset="0"/>
            </a:rPr>
            <a:t>3. *** Click </a:t>
          </a:r>
          <a:r>
            <a:rPr lang="en-US" sz="1400" b="1" kern="0" spc="0" baseline="0">
              <a:latin typeface="Arial" panose="020B0604020202020204" pitchFamily="34" charset="0"/>
              <a:cs typeface="Arial" panose="020B0604020202020204" pitchFamily="34" charset="0"/>
            </a:rPr>
            <a:t>'Reset'</a:t>
          </a:r>
          <a:r>
            <a:rPr lang="en-US" sz="1400" b="0" kern="0" spc="0" baseline="0">
              <a:latin typeface="Arial" panose="020B0604020202020204" pitchFamily="34" charset="0"/>
              <a:cs typeface="Arial" panose="020B0604020202020204" pitchFamily="34" charset="0"/>
            </a:rPr>
            <a:t> right after clicking the </a:t>
          </a:r>
          <a:r>
            <a:rPr lang="en-US" sz="1400" b="1" kern="0" spc="0" baseline="0">
              <a:latin typeface="Arial" panose="020B0604020202020204" pitchFamily="34" charset="0"/>
              <a:cs typeface="Arial" panose="020B0604020202020204" pitchFamily="34" charset="0"/>
            </a:rPr>
            <a:t>'Top 5 ...'</a:t>
          </a:r>
          <a:r>
            <a:rPr lang="en-US" sz="1400" b="0" kern="0" spc="0" baseline="0">
              <a:latin typeface="Arial" panose="020B0604020202020204" pitchFamily="34" charset="0"/>
              <a:cs typeface="Arial" panose="020B0604020202020204" pitchFamily="34" charset="0"/>
            </a:rPr>
            <a:t> buttons for a cleaner look.</a:t>
          </a:r>
          <a:endParaRPr lang="en-US" sz="1400" kern="0" spc="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1295400</xdr:colOff>
      <xdr:row>2</xdr:row>
      <xdr:rowOff>0</xdr:rowOff>
    </xdr:from>
    <xdr:to>
      <xdr:col>2</xdr:col>
      <xdr:colOff>1866900</xdr:colOff>
      <xdr:row>5</xdr:row>
      <xdr:rowOff>0</xdr:rowOff>
    </xdr:to>
    <xdr:sp macro="[0]!LowFirstTempF" textlink="">
      <xdr:nvSpPr>
        <xdr:cNvPr id="2" name="Arrow: Down 1">
          <a:extLst>
            <a:ext uri="{FF2B5EF4-FFF2-40B4-BE49-F238E27FC236}">
              <a16:creationId xmlns:a16="http://schemas.microsoft.com/office/drawing/2014/main" id="{00000000-0008-0000-0200-000002000000}"/>
            </a:ext>
          </a:extLst>
        </xdr:cNvPr>
        <xdr:cNvSpPr/>
      </xdr:nvSpPr>
      <xdr:spPr>
        <a:xfrm>
          <a:off x="49149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1295400</xdr:colOff>
      <xdr:row>2</xdr:row>
      <xdr:rowOff>0</xdr:rowOff>
    </xdr:from>
    <xdr:to>
      <xdr:col>3</xdr:col>
      <xdr:colOff>1866900</xdr:colOff>
      <xdr:row>5</xdr:row>
      <xdr:rowOff>0</xdr:rowOff>
    </xdr:to>
    <xdr:sp macro="[0]!LowFirstTempC" textlink="">
      <xdr:nvSpPr>
        <xdr:cNvPr id="3" name="Arrow: Down 2">
          <a:extLst>
            <a:ext uri="{FF2B5EF4-FFF2-40B4-BE49-F238E27FC236}">
              <a16:creationId xmlns:a16="http://schemas.microsoft.com/office/drawing/2014/main" id="{00000000-0008-0000-0200-000003000000}"/>
            </a:ext>
          </a:extLst>
        </xdr:cNvPr>
        <xdr:cNvSpPr/>
      </xdr:nvSpPr>
      <xdr:spPr>
        <a:xfrm>
          <a:off x="80137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1295400</xdr:colOff>
      <xdr:row>2</xdr:row>
      <xdr:rowOff>0</xdr:rowOff>
    </xdr:from>
    <xdr:to>
      <xdr:col>4</xdr:col>
      <xdr:colOff>1866900</xdr:colOff>
      <xdr:row>5</xdr:row>
      <xdr:rowOff>0</xdr:rowOff>
    </xdr:to>
    <xdr:sp macro="[0]!LowFirstSunlight" textlink="">
      <xdr:nvSpPr>
        <xdr:cNvPr id="4" name="Arrow: Down 3">
          <a:extLst>
            <a:ext uri="{FF2B5EF4-FFF2-40B4-BE49-F238E27FC236}">
              <a16:creationId xmlns:a16="http://schemas.microsoft.com/office/drawing/2014/main" id="{00000000-0008-0000-0200-000004000000}"/>
            </a:ext>
          </a:extLst>
        </xdr:cNvPr>
        <xdr:cNvSpPr/>
      </xdr:nvSpPr>
      <xdr:spPr>
        <a:xfrm>
          <a:off x="111125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1295400</xdr:colOff>
      <xdr:row>2</xdr:row>
      <xdr:rowOff>0</xdr:rowOff>
    </xdr:from>
    <xdr:to>
      <xdr:col>5</xdr:col>
      <xdr:colOff>1866900</xdr:colOff>
      <xdr:row>5</xdr:row>
      <xdr:rowOff>0</xdr:rowOff>
    </xdr:to>
    <xdr:sp macro="[0]!LowFirstPrecipitation" textlink="">
      <xdr:nvSpPr>
        <xdr:cNvPr id="6" name="Arrow: Down 5">
          <a:extLst>
            <a:ext uri="{FF2B5EF4-FFF2-40B4-BE49-F238E27FC236}">
              <a16:creationId xmlns:a16="http://schemas.microsoft.com/office/drawing/2014/main" id="{00000000-0008-0000-0200-000006000000}"/>
            </a:ext>
          </a:extLst>
        </xdr:cNvPr>
        <xdr:cNvSpPr/>
      </xdr:nvSpPr>
      <xdr:spPr>
        <a:xfrm>
          <a:off x="142113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1295400</xdr:colOff>
      <xdr:row>2</xdr:row>
      <xdr:rowOff>0</xdr:rowOff>
    </xdr:from>
    <xdr:to>
      <xdr:col>6</xdr:col>
      <xdr:colOff>1866900</xdr:colOff>
      <xdr:row>5</xdr:row>
      <xdr:rowOff>0</xdr:rowOff>
    </xdr:to>
    <xdr:sp macro="[0]!LowFirstSnowfall" textlink="">
      <xdr:nvSpPr>
        <xdr:cNvPr id="7" name="Arrow: Down 6">
          <a:extLst>
            <a:ext uri="{FF2B5EF4-FFF2-40B4-BE49-F238E27FC236}">
              <a16:creationId xmlns:a16="http://schemas.microsoft.com/office/drawing/2014/main" id="{00000000-0008-0000-0200-000007000000}"/>
            </a:ext>
          </a:extLst>
        </xdr:cNvPr>
        <xdr:cNvSpPr/>
      </xdr:nvSpPr>
      <xdr:spPr>
        <a:xfrm>
          <a:off x="173101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1295400</xdr:colOff>
      <xdr:row>2</xdr:row>
      <xdr:rowOff>0</xdr:rowOff>
    </xdr:from>
    <xdr:to>
      <xdr:col>7</xdr:col>
      <xdr:colOff>1866900</xdr:colOff>
      <xdr:row>5</xdr:row>
      <xdr:rowOff>0</xdr:rowOff>
    </xdr:to>
    <xdr:sp macro="[0]!LowFirstExtrEvents" textlink="">
      <xdr:nvSpPr>
        <xdr:cNvPr id="8" name="Arrow: Down 7">
          <a:extLst>
            <a:ext uri="{FF2B5EF4-FFF2-40B4-BE49-F238E27FC236}">
              <a16:creationId xmlns:a16="http://schemas.microsoft.com/office/drawing/2014/main" id="{00000000-0008-0000-0200-000008000000}"/>
            </a:ext>
          </a:extLst>
        </xdr:cNvPr>
        <xdr:cNvSpPr/>
      </xdr:nvSpPr>
      <xdr:spPr>
        <a:xfrm>
          <a:off x="204089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1295400</xdr:colOff>
      <xdr:row>2</xdr:row>
      <xdr:rowOff>0</xdr:rowOff>
    </xdr:from>
    <xdr:to>
      <xdr:col>8</xdr:col>
      <xdr:colOff>1866900</xdr:colOff>
      <xdr:row>5</xdr:row>
      <xdr:rowOff>0</xdr:rowOff>
    </xdr:to>
    <xdr:sp macro="[0]!LowFirstCrime" textlink="">
      <xdr:nvSpPr>
        <xdr:cNvPr id="9" name="Arrow: Down 8">
          <a:extLst>
            <a:ext uri="{FF2B5EF4-FFF2-40B4-BE49-F238E27FC236}">
              <a16:creationId xmlns:a16="http://schemas.microsoft.com/office/drawing/2014/main" id="{00000000-0008-0000-0200-000009000000}"/>
            </a:ext>
          </a:extLst>
        </xdr:cNvPr>
        <xdr:cNvSpPr/>
      </xdr:nvSpPr>
      <xdr:spPr>
        <a:xfrm>
          <a:off x="235077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1295400</xdr:colOff>
      <xdr:row>2</xdr:row>
      <xdr:rowOff>0</xdr:rowOff>
    </xdr:from>
    <xdr:to>
      <xdr:col>9</xdr:col>
      <xdr:colOff>1866900</xdr:colOff>
      <xdr:row>5</xdr:row>
      <xdr:rowOff>0</xdr:rowOff>
    </xdr:to>
    <xdr:sp macro="[0]!LowFirstPopulation" textlink="">
      <xdr:nvSpPr>
        <xdr:cNvPr id="10" name="Arrow: Down 9">
          <a:extLst>
            <a:ext uri="{FF2B5EF4-FFF2-40B4-BE49-F238E27FC236}">
              <a16:creationId xmlns:a16="http://schemas.microsoft.com/office/drawing/2014/main" id="{00000000-0008-0000-0200-00000A000000}"/>
            </a:ext>
          </a:extLst>
        </xdr:cNvPr>
        <xdr:cNvSpPr/>
      </xdr:nvSpPr>
      <xdr:spPr>
        <a:xfrm>
          <a:off x="266065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1</xdr:col>
      <xdr:colOff>1295400</xdr:colOff>
      <xdr:row>1</xdr:row>
      <xdr:rowOff>292100</xdr:rowOff>
    </xdr:from>
    <xdr:to>
      <xdr:col>1</xdr:col>
      <xdr:colOff>1981200</xdr:colOff>
      <xdr:row>5</xdr:row>
      <xdr:rowOff>63500</xdr:rowOff>
    </xdr:to>
    <xdr:pic macro="[0]!Reset_Table2">
      <xdr:nvPicPr>
        <xdr:cNvPr id="13" name="Graphic 12" descr="Repeat with solid fill">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6100" y="622300"/>
          <a:ext cx="685800" cy="711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863600</xdr:colOff>
      <xdr:row>0</xdr:row>
      <xdr:rowOff>254000</xdr:rowOff>
    </xdr:from>
    <xdr:to>
      <xdr:col>8</xdr:col>
      <xdr:colOff>2857500</xdr:colOff>
      <xdr:row>9</xdr:row>
      <xdr:rowOff>127000</xdr:rowOff>
    </xdr:to>
    <xdr:sp macro="" textlink="">
      <xdr:nvSpPr>
        <xdr:cNvPr id="2" name="Thought Bubble: Cloud 1">
          <a:extLst>
            <a:ext uri="{FF2B5EF4-FFF2-40B4-BE49-F238E27FC236}">
              <a16:creationId xmlns:a16="http://schemas.microsoft.com/office/drawing/2014/main" id="{00000000-0008-0000-0300-000002000000}"/>
            </a:ext>
          </a:extLst>
        </xdr:cNvPr>
        <xdr:cNvSpPr/>
      </xdr:nvSpPr>
      <xdr:spPr>
        <a:xfrm>
          <a:off x="12590483" y="254000"/>
          <a:ext cx="6496627" cy="2511961"/>
        </a:xfrm>
        <a:prstGeom prst="cloudCallout">
          <a:avLst>
            <a:gd name="adj1" fmla="val -49726"/>
            <a:gd name="adj2" fmla="val 60197"/>
          </a:avLst>
        </a:prstGeom>
        <a:noFill/>
        <a:ln w="76200" cap="flat" cmpd="sng" algn="ctr">
          <a:solidFill>
            <a:schemeClr val="accent2"/>
          </a:solidFill>
          <a:prstDash val="solid"/>
          <a:round/>
          <a:headEnd type="none" w="med" len="med"/>
          <a:tailEnd type="none" w="med" len="med"/>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7</xdr:col>
      <xdr:colOff>0</xdr:colOff>
      <xdr:row>12</xdr:row>
      <xdr:rowOff>148182</xdr:rowOff>
    </xdr:from>
    <xdr:to>
      <xdr:col>11</xdr:col>
      <xdr:colOff>0</xdr:colOff>
      <xdr:row>37</xdr:row>
      <xdr:rowOff>0</xdr:rowOff>
    </xdr:to>
    <mc:AlternateContent xmlns:mc="http://schemas.openxmlformats.org/markup-compatibility/2006">
      <mc:Choice xmlns:cx4="http://schemas.microsoft.com/office/drawing/2016/5/10/chartex" Requires="cx4">
        <xdr:graphicFrame macro="">
          <xdr:nvGraphicFramePr>
            <xdr:cNvPr id="3" name="Chart 4">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957300" y="3577182"/>
              <a:ext cx="9055100" cy="493181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0</xdr:colOff>
      <xdr:row>36</xdr:row>
      <xdr:rowOff>197921</xdr:rowOff>
    </xdr:from>
    <xdr:to>
      <xdr:col>11</xdr:col>
      <xdr:colOff>0</xdr:colOff>
      <xdr:row>62</xdr:row>
      <xdr:rowOff>0</xdr:rowOff>
    </xdr:to>
    <mc:AlternateContent xmlns:mc="http://schemas.openxmlformats.org/markup-compatibility/2006">
      <mc:Choice xmlns:cx4="http://schemas.microsoft.com/office/drawing/2016/5/10/chartex" Requires="cx4">
        <xdr:graphicFrame macro="">
          <xdr:nvGraphicFramePr>
            <xdr:cNvPr id="4" name="Chart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957300" y="8503721"/>
              <a:ext cx="9055100" cy="508527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4</xdr:row>
      <xdr:rowOff>0</xdr:rowOff>
    </xdr:from>
    <xdr:to>
      <xdr:col>20</xdr:col>
      <xdr:colOff>0</xdr:colOff>
      <xdr:row>29</xdr:row>
      <xdr:rowOff>0</xdr:rowOff>
    </xdr:to>
    <xdr:graphicFrame macro="">
      <xdr:nvGraphicFramePr>
        <xdr:cNvPr id="2" name="Chart 9">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4</xdr:row>
      <xdr:rowOff>7353</xdr:rowOff>
    </xdr:from>
    <xdr:to>
      <xdr:col>4</xdr:col>
      <xdr:colOff>0</xdr:colOff>
      <xdr:row>47</xdr:row>
      <xdr:rowOff>133350</xdr:rowOff>
    </xdr:to>
    <mc:AlternateContent xmlns:mc="http://schemas.openxmlformats.org/markup-compatibility/2006" xmlns:a14="http://schemas.microsoft.com/office/drawing/2010/main">
      <mc:Choice Requires="a14">
        <xdr:graphicFrame macro="">
          <xdr:nvGraphicFramePr>
            <xdr:cNvPr id="3" name="Income_Slice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come_Slicer"/>
            </a:graphicData>
          </a:graphic>
        </xdr:graphicFrame>
      </mc:Choice>
      <mc:Fallback xmlns="">
        <xdr:sp macro="" textlink="">
          <xdr:nvSpPr>
            <xdr:cNvPr id="0" name=""/>
            <xdr:cNvSpPr>
              <a:spLocks noTextEdit="1"/>
            </xdr:cNvSpPr>
          </xdr:nvSpPr>
          <xdr:spPr>
            <a:xfrm>
              <a:off x="0" y="1007478"/>
              <a:ext cx="3848100" cy="88000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4</xdr:row>
      <xdr:rowOff>0</xdr:rowOff>
    </xdr:from>
    <xdr:to>
      <xdr:col>19</xdr:col>
      <xdr:colOff>95214</xdr:colOff>
      <xdr:row>28</xdr:row>
      <xdr:rowOff>196734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4</xdr:row>
      <xdr:rowOff>11755</xdr:rowOff>
    </xdr:from>
    <xdr:to>
      <xdr:col>3</xdr:col>
      <xdr:colOff>965199</xdr:colOff>
      <xdr:row>47</xdr:row>
      <xdr:rowOff>140787</xdr:rowOff>
    </xdr:to>
    <mc:AlternateContent xmlns:mc="http://schemas.openxmlformats.org/markup-compatibility/2006" xmlns:a14="http://schemas.microsoft.com/office/drawing/2010/main">
      <mc:Choice Requires="a14">
        <xdr:graphicFrame macro="">
          <xdr:nvGraphicFramePr>
            <xdr:cNvPr id="3" name="Unemp_Slicer">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Unemp_Slicer"/>
            </a:graphicData>
          </a:graphic>
        </xdr:graphicFrame>
      </mc:Choice>
      <mc:Fallback xmlns="">
        <xdr:sp macro="" textlink="">
          <xdr:nvSpPr>
            <xdr:cNvPr id="0" name=""/>
            <xdr:cNvSpPr>
              <a:spLocks noTextEdit="1"/>
            </xdr:cNvSpPr>
          </xdr:nvSpPr>
          <xdr:spPr>
            <a:xfrm>
              <a:off x="0" y="1218255"/>
              <a:ext cx="3860799" cy="8942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oa Pham" refreshedDate="45413.260948495372" createdVersion="8" refreshedVersion="8" minRefreshableVersion="3" recordCount="51" xr:uid="{2744E7B6-B930-CB49-9BD9-BD792CD960D4}">
  <cacheSource type="worksheet">
    <worksheetSource name="Table186"/>
  </cacheSource>
  <cacheFields count="5">
    <cacheField name="State" numFmtId="0">
      <sharedItems containsNonDate="0" count="51">
        <s v="North Dakota"/>
        <s v="South Dakota"/>
        <s v="Nebraska"/>
        <s v="Vermont"/>
        <s v="New Hampshire"/>
        <s v="Utah"/>
        <s v="Alabama"/>
        <s v="Kansas"/>
        <s v="Minnesota"/>
        <s v="Missouri"/>
        <s v="Montana"/>
        <s v="Iowa"/>
        <s v="Maine"/>
        <s v="Virginia"/>
        <s v="Idaho"/>
        <s v="Wisconsin"/>
        <s v="Maryland"/>
        <s v="Florida"/>
        <s v="Colorado"/>
        <s v="Georgia"/>
        <s v="Oklahoma"/>
        <s v="Indiana"/>
        <s v="Rhode Island"/>
        <s v="South Carolina"/>
        <s v="Arkansas"/>
        <s v="Hawaii"/>
        <s v="Wyoming"/>
        <s v="Tennessee"/>
        <s v="Massachusetts"/>
        <s v="North Carolina"/>
        <s v="Louisiana"/>
        <s v="Mississippi"/>
        <s v="Arizona"/>
        <s v="Oregon"/>
        <s v="Texas"/>
        <s v="West Virginia"/>
        <s v="New Jersey"/>
        <s v="Ohio"/>
        <s v="Kentucky"/>
        <s v="Pennsylvania"/>
        <s v="Connecticut"/>
        <s v="New Mexico"/>
        <s v="Michigan"/>
        <s v="Washington"/>
        <s v="Alaska"/>
        <s v="Delaware"/>
        <s v="New York"/>
        <s v="California"/>
        <s v="Illinois"/>
        <s v="District of Columbia"/>
        <s v="Nevada"/>
      </sharedItems>
    </cacheField>
    <cacheField name="2020 Rate (%)" numFmtId="0">
      <sharedItems containsSemiMixedTypes="0" containsString="0" containsNumber="1" minValue="4.2" maxValue="13.5" count="40">
        <n v="4.9000000000000004"/>
        <n v="4.2"/>
        <n v="4.3"/>
        <n v="5.6"/>
        <n v="6.7"/>
        <n v="4.8"/>
        <n v="6.4"/>
        <n v="5.8"/>
        <n v="6.3"/>
        <n v="6.2"/>
        <n v="5.2"/>
        <n v="5.0999999999999996"/>
        <n v="5.5"/>
        <n v="8.1"/>
        <n v="6.8"/>
        <n v="6.5"/>
        <n v="7.3"/>
        <n v="9.1999999999999993"/>
        <n v="6"/>
        <n v="11.7"/>
        <n v="5.9"/>
        <n v="7.4"/>
        <n v="9.3000000000000007"/>
        <n v="7.2"/>
        <n v="8.6"/>
        <n v="8"/>
        <n v="7.8"/>
        <n v="7.6"/>
        <n v="7.7"/>
        <n v="8.1999999999999993"/>
        <n v="9.4"/>
        <n v="8.9"/>
        <n v="7.9"/>
        <n v="10"/>
        <n v="8.5"/>
        <n v="8.3000000000000007"/>
        <n v="7.5"/>
        <n v="9.8000000000000007"/>
        <n v="10.1"/>
        <n v="13.5"/>
      </sharedItems>
    </cacheField>
    <cacheField name="2021 Rate (%)" numFmtId="0">
      <sharedItems containsSemiMixedTypes="0" containsString="0" containsNumber="1" minValue="2.6" maxValue="7.3" count="28">
        <n v="3"/>
        <n v="2.6"/>
        <n v="3.6"/>
        <n v="3.4"/>
        <n v="2.8"/>
        <n v="3.3"/>
        <n v="3.7"/>
        <n v="4.2"/>
        <n v="3.8"/>
        <n v="4.7"/>
        <n v="3.9"/>
        <n v="5.2"/>
        <n v="5.5"/>
        <n v="4"/>
        <n v="6"/>
        <n v="4.5"/>
        <n v="5.4"/>
        <n v="4.9000000000000004"/>
        <n v="5.6"/>
        <n v="5.0999999999999996"/>
        <n v="6.7"/>
        <n v="5.9"/>
        <n v="6.4"/>
        <n v="7.1"/>
        <n v="5.7"/>
        <n v="7.3"/>
        <n v="6.1"/>
        <n v="6.8"/>
      </sharedItems>
    </cacheField>
    <cacheField name="2022 Rate (%)" numFmtId="0">
      <sharedItems containsSemiMixedTypes="0" containsString="0" containsNumber="1" minValue="2" maxValue="5.2" count="24">
        <n v="2"/>
        <n v="2.2000000000000002"/>
        <n v="2.2999999999999998"/>
        <n v="2.4"/>
        <n v="2.5"/>
        <n v="2.6"/>
        <n v="2.7"/>
        <n v="2.8"/>
        <n v="2.9"/>
        <n v="3"/>
        <n v="3.1"/>
        <n v="3.2"/>
        <n v="3.3"/>
        <n v="3.4"/>
        <n v="3.7"/>
        <n v="3.8"/>
        <n v="3.9"/>
        <n v="4"/>
        <n v="4.0999999999999996"/>
        <n v="4.2"/>
        <n v="4.3"/>
        <n v="4.5999999999999996"/>
        <n v="4.7"/>
        <n v="5.2"/>
      </sharedItems>
    </cacheField>
    <cacheField name="2023 Rate (%)" numFmtId="0">
      <sharedItems containsSemiMixedTypes="0" containsString="0" containsNumber="1" minValue="1.9" maxValue="5.0999999999999996"/>
    </cacheField>
  </cacheFields>
  <extLst>
    <ext xmlns:x14="http://schemas.microsoft.com/office/spreadsheetml/2009/9/main" uri="{725AE2AE-9491-48be-B2B4-4EB974FC3084}">
      <x14:pivotCacheDefinition pivotCacheId="7825255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oa Pham" refreshedDate="45413.382510648145" createdVersion="8" refreshedVersion="8" minRefreshableVersion="3" recordCount="51" xr:uid="{A86C213F-290E-7741-96F8-D00376AE694E}">
  <cacheSource type="worksheet">
    <worksheetSource name="Median_Income"/>
  </cacheSource>
  <cacheFields count="7">
    <cacheField name="States" numFmtId="0">
      <sharedItems containsNonDate="0" count="51">
        <s v="Alabama"/>
        <s v="Alaska"/>
        <s v="Arizona"/>
        <s v="Arkansas"/>
        <s v="California"/>
        <s v="Colorado"/>
        <s v="Connecticut"/>
        <s v="Delaware"/>
        <s v="District Of Columbia"/>
        <s v="Florida"/>
        <s v="Georgia"/>
        <s v="Hawaii"/>
        <s v="Idaho"/>
        <s v="Illinois"/>
        <s v="Indian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Iowa"/>
        <s v="Utah"/>
        <s v="Vermont"/>
        <s v="Virginia"/>
        <s v="Washington"/>
        <s v="West Virginia"/>
        <s v="Wisconsin"/>
        <s v="Wyoming"/>
      </sharedItems>
    </cacheField>
    <cacheField name="1 Earner (2012)" numFmtId="166">
      <sharedItems containsSemiMixedTypes="0" containsString="0" containsNumber="1" containsInteger="1" minValue="40148" maxValue="78711" count="51">
        <n v="47624"/>
        <n v="69739"/>
        <n v="51546"/>
        <n v="42752"/>
        <n v="62477"/>
        <n v="62735"/>
        <n v="70396"/>
        <n v="53659"/>
        <n v="71490"/>
        <n v="50480"/>
        <n v="52726"/>
        <n v="61648"/>
        <n v="52508"/>
        <n v="56690"/>
        <n v="50575"/>
        <n v="54788"/>
        <n v="45018"/>
        <n v="42826"/>
        <n v="53863"/>
        <n v="78711"/>
        <n v="69748"/>
        <n v="54802"/>
        <n v="67709"/>
        <n v="40148"/>
        <n v="54527"/>
        <n v="49403"/>
        <n v="57191"/>
        <n v="51863"/>
        <n v="74310"/>
        <n v="73075"/>
        <n v="47580"/>
        <n v="52243"/>
        <n v="45530"/>
        <n v="61103"/>
        <n v="48622"/>
        <n v="53040"/>
        <n v="56730"/>
        <n v="56871"/>
        <n v="61431"/>
        <n v="48650"/>
        <n v="54144"/>
        <n v="47110"/>
        <n v="56896"/>
        <n v="58557"/>
        <n v="63924"/>
        <n v="60901"/>
        <n v="70818"/>
        <n v="68139"/>
        <n v="47721"/>
        <n v="58159"/>
        <n v="63016"/>
      </sharedItems>
    </cacheField>
    <cacheField name="1 Earner (2018)" numFmtId="166">
      <sharedItems containsSemiMixedTypes="0" containsString="0" containsNumber="1" containsInteger="1" minValue="42781" maxValue="86345"/>
    </cacheField>
    <cacheField name="1 Earner (2023)" numFmtId="166">
      <sharedItems containsSemiMixedTypes="0" containsString="0" containsNumber="1" containsInteger="1" minValue="48603" maxValue="86370"/>
    </cacheField>
    <cacheField name="2 People" numFmtId="166">
      <sharedItems containsSemiMixedTypes="0" containsString="0" containsNumber="1" containsInteger="1" minValue="60981" maxValue="146440"/>
    </cacheField>
    <cacheField name="3 People" numFmtId="166">
      <sharedItems containsSemiMixedTypes="0" containsString="0" containsNumber="1" containsInteger="1" minValue="70950" maxValue="146440"/>
    </cacheField>
    <cacheField name="4 People" numFmtId="166">
      <sharedItems containsSemiMixedTypes="0" containsString="0" containsNumber="1" containsInteger="1" minValue="82110" maxValue="204686"/>
    </cacheField>
  </cacheFields>
  <extLst>
    <ext xmlns:x14="http://schemas.microsoft.com/office/spreadsheetml/2009/9/main" uri="{725AE2AE-9491-48be-B2B4-4EB974FC3084}">
      <x14:pivotCacheDefinition pivotCacheId="6382143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x v="0"/>
    <x v="0"/>
    <n v="1.9"/>
  </r>
  <r>
    <x v="1"/>
    <x v="1"/>
    <x v="1"/>
    <x v="0"/>
    <n v="2"/>
  </r>
  <r>
    <x v="2"/>
    <x v="2"/>
    <x v="1"/>
    <x v="1"/>
    <n v="2.2999999999999998"/>
  </r>
  <r>
    <x v="3"/>
    <x v="3"/>
    <x v="2"/>
    <x v="2"/>
    <n v="2"/>
  </r>
  <r>
    <x v="4"/>
    <x v="4"/>
    <x v="3"/>
    <x v="2"/>
    <n v="2.2000000000000002"/>
  </r>
  <r>
    <x v="5"/>
    <x v="5"/>
    <x v="4"/>
    <x v="3"/>
    <n v="2.6"/>
  </r>
  <r>
    <x v="6"/>
    <x v="6"/>
    <x v="3"/>
    <x v="4"/>
    <n v="2.5"/>
  </r>
  <r>
    <x v="7"/>
    <x v="7"/>
    <x v="5"/>
    <x v="5"/>
    <n v="2.7"/>
  </r>
  <r>
    <x v="8"/>
    <x v="8"/>
    <x v="6"/>
    <x v="5"/>
    <n v="2.8"/>
  </r>
  <r>
    <x v="9"/>
    <x v="9"/>
    <x v="7"/>
    <x v="5"/>
    <n v="3"/>
  </r>
  <r>
    <x v="10"/>
    <x v="7"/>
    <x v="3"/>
    <x v="6"/>
    <n v="2.9"/>
  </r>
  <r>
    <x v="11"/>
    <x v="10"/>
    <x v="8"/>
    <x v="7"/>
    <n v="2.9"/>
  </r>
  <r>
    <x v="12"/>
    <x v="11"/>
    <x v="9"/>
    <x v="7"/>
    <n v="2.9"/>
  </r>
  <r>
    <x v="13"/>
    <x v="6"/>
    <x v="10"/>
    <x v="7"/>
    <n v="2.9"/>
  </r>
  <r>
    <x v="14"/>
    <x v="12"/>
    <x v="2"/>
    <x v="7"/>
    <n v="3.1"/>
  </r>
  <r>
    <x v="15"/>
    <x v="6"/>
    <x v="10"/>
    <x v="8"/>
    <n v="3"/>
  </r>
  <r>
    <x v="16"/>
    <x v="6"/>
    <x v="11"/>
    <x v="9"/>
    <n v="2.1"/>
  </r>
  <r>
    <x v="17"/>
    <x v="13"/>
    <x v="9"/>
    <x v="9"/>
    <n v="2.9"/>
  </r>
  <r>
    <x v="18"/>
    <x v="14"/>
    <x v="12"/>
    <x v="10"/>
    <n v="3.2"/>
  </r>
  <r>
    <x v="19"/>
    <x v="15"/>
    <x v="10"/>
    <x v="10"/>
    <n v="3.2"/>
  </r>
  <r>
    <x v="20"/>
    <x v="8"/>
    <x v="13"/>
    <x v="10"/>
    <n v="3.2"/>
  </r>
  <r>
    <x v="21"/>
    <x v="16"/>
    <x v="10"/>
    <x v="10"/>
    <n v="3.3"/>
  </r>
  <r>
    <x v="22"/>
    <x v="17"/>
    <x v="12"/>
    <x v="11"/>
    <n v="3"/>
  </r>
  <r>
    <x v="23"/>
    <x v="18"/>
    <x v="10"/>
    <x v="11"/>
    <n v="3"/>
  </r>
  <r>
    <x v="24"/>
    <x v="9"/>
    <x v="13"/>
    <x v="11"/>
    <n v="3.3"/>
  </r>
  <r>
    <x v="25"/>
    <x v="19"/>
    <x v="14"/>
    <x v="12"/>
    <n v="3"/>
  </r>
  <r>
    <x v="26"/>
    <x v="20"/>
    <x v="15"/>
    <x v="13"/>
    <n v="2.9"/>
  </r>
  <r>
    <x v="27"/>
    <x v="21"/>
    <x v="15"/>
    <x v="13"/>
    <n v="3.3"/>
  </r>
  <r>
    <x v="28"/>
    <x v="22"/>
    <x v="16"/>
    <x v="14"/>
    <n v="3.4"/>
  </r>
  <r>
    <x v="29"/>
    <x v="23"/>
    <x v="17"/>
    <x v="14"/>
    <n v="3.5"/>
  </r>
  <r>
    <x v="30"/>
    <x v="24"/>
    <x v="18"/>
    <x v="14"/>
    <n v="3.7"/>
  </r>
  <r>
    <x v="31"/>
    <x v="25"/>
    <x v="16"/>
    <x v="15"/>
    <n v="3.2"/>
  </r>
  <r>
    <x v="32"/>
    <x v="26"/>
    <x v="19"/>
    <x v="15"/>
    <n v="3.9"/>
  </r>
  <r>
    <x v="33"/>
    <x v="27"/>
    <x v="11"/>
    <x v="16"/>
    <n v="3.7"/>
  </r>
  <r>
    <x v="34"/>
    <x v="28"/>
    <x v="18"/>
    <x v="16"/>
    <n v="3.9"/>
  </r>
  <r>
    <x v="35"/>
    <x v="29"/>
    <x v="19"/>
    <x v="16"/>
    <n v="3.9"/>
  </r>
  <r>
    <x v="36"/>
    <x v="30"/>
    <x v="20"/>
    <x v="16"/>
    <n v="4.4000000000000004"/>
  </r>
  <r>
    <x v="37"/>
    <x v="29"/>
    <x v="19"/>
    <x v="17"/>
    <n v="3.5"/>
  </r>
  <r>
    <x v="38"/>
    <x v="15"/>
    <x v="15"/>
    <x v="17"/>
    <n v="4.2"/>
  </r>
  <r>
    <x v="39"/>
    <x v="31"/>
    <x v="21"/>
    <x v="18"/>
    <n v="3.4"/>
  </r>
  <r>
    <x v="40"/>
    <x v="25"/>
    <x v="22"/>
    <x v="18"/>
    <n v="3.8"/>
  </r>
  <r>
    <x v="41"/>
    <x v="32"/>
    <x v="23"/>
    <x v="18"/>
    <n v="3.8"/>
  </r>
  <r>
    <x v="42"/>
    <x v="33"/>
    <x v="24"/>
    <x v="18"/>
    <n v="3.9"/>
  </r>
  <r>
    <x v="43"/>
    <x v="34"/>
    <x v="11"/>
    <x v="18"/>
    <n v="4.0999999999999996"/>
  </r>
  <r>
    <x v="44"/>
    <x v="35"/>
    <x v="22"/>
    <x v="19"/>
    <n v="4.2"/>
  </r>
  <r>
    <x v="45"/>
    <x v="36"/>
    <x v="12"/>
    <x v="20"/>
    <n v="4"/>
  </r>
  <r>
    <x v="46"/>
    <x v="37"/>
    <x v="23"/>
    <x v="20"/>
    <n v="4.2"/>
  </r>
  <r>
    <x v="47"/>
    <x v="38"/>
    <x v="25"/>
    <x v="20"/>
    <n v="4.8"/>
  </r>
  <r>
    <x v="48"/>
    <x v="22"/>
    <x v="26"/>
    <x v="21"/>
    <n v="4.5"/>
  </r>
  <r>
    <x v="49"/>
    <x v="32"/>
    <x v="27"/>
    <x v="22"/>
    <n v="4.9000000000000004"/>
  </r>
  <r>
    <x v="50"/>
    <x v="39"/>
    <x v="27"/>
    <x v="23"/>
    <n v="5.099999999999999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n v="49936"/>
    <n v="56598"/>
    <n v="67953"/>
    <n v="77419"/>
    <n v="94659"/>
  </r>
  <r>
    <x v="1"/>
    <x v="1"/>
    <n v="68734"/>
    <n v="76191"/>
    <n v="89932"/>
    <n v="113035"/>
    <n v="121062"/>
  </r>
  <r>
    <x v="2"/>
    <x v="2"/>
    <n v="62283"/>
    <n v="64172"/>
    <n v="80249"/>
    <n v="90193"/>
    <n v="104143"/>
  </r>
  <r>
    <x v="3"/>
    <x v="3"/>
    <n v="49781"/>
    <n v="51164"/>
    <n v="63835"/>
    <n v="74475"/>
    <n v="86039"/>
  </r>
  <r>
    <x v="4"/>
    <x v="4"/>
    <n v="70489"/>
    <n v="75235"/>
    <n v="93175"/>
    <n v="104785"/>
    <n v="122707"/>
  </r>
  <r>
    <x v="5"/>
    <x v="5"/>
    <n v="73034"/>
    <n v="75710"/>
    <n v="98365"/>
    <n v="113822"/>
    <n v="134146"/>
  </r>
  <r>
    <x v="6"/>
    <x v="6"/>
    <n v="72812"/>
    <n v="81909"/>
    <n v="100639"/>
    <n v="121958"/>
    <n v="142596"/>
  </r>
  <r>
    <x v="7"/>
    <x v="7"/>
    <n v="65012"/>
    <n v="71279"/>
    <n v="83174"/>
    <n v="103598"/>
    <n v="122908"/>
  </r>
  <r>
    <x v="8"/>
    <x v="8"/>
    <n v="85750"/>
    <n v="86370"/>
    <n v="146440"/>
    <n v="146440"/>
    <n v="204686"/>
  </r>
  <r>
    <x v="9"/>
    <x v="9"/>
    <n v="54644"/>
    <n v="60429"/>
    <n v="74131"/>
    <n v="83396"/>
    <n v="100476"/>
  </r>
  <r>
    <x v="10"/>
    <x v="10"/>
    <n v="55821"/>
    <n v="60490"/>
    <n v="77183"/>
    <n v="87742"/>
    <n v="103638"/>
  </r>
  <r>
    <x v="11"/>
    <x v="11"/>
    <n v="80108"/>
    <n v="78788"/>
    <n v="92578"/>
    <n v="104704"/>
    <n v="125621"/>
  </r>
  <r>
    <x v="12"/>
    <x v="12"/>
    <n v="58728"/>
    <n v="62738"/>
    <n v="77719"/>
    <n v="87960"/>
    <n v="97212"/>
  </r>
  <r>
    <x v="13"/>
    <x v="13"/>
    <n v="70145"/>
    <n v="67102"/>
    <n v="84892"/>
    <n v="101951"/>
    <n v="122289"/>
  </r>
  <r>
    <x v="14"/>
    <x v="14"/>
    <n v="59892"/>
    <n v="60725"/>
    <n v="75774"/>
    <n v="89800"/>
    <n v="102605"/>
  </r>
  <r>
    <x v="15"/>
    <x v="15"/>
    <n v="63938"/>
    <n v="61158"/>
    <n v="79752"/>
    <n v="88271"/>
    <n v="113151"/>
  </r>
  <r>
    <x v="16"/>
    <x v="16"/>
    <n v="54555"/>
    <n v="55971"/>
    <n v="66902"/>
    <n v="75700"/>
    <n v="94937"/>
  </r>
  <r>
    <x v="17"/>
    <x v="17"/>
    <n v="49973"/>
    <n v="53028"/>
    <n v="64762"/>
    <n v="73393"/>
    <n v="91366"/>
  </r>
  <r>
    <x v="18"/>
    <x v="18"/>
    <n v="58663"/>
    <n v="61440"/>
    <n v="79014"/>
    <n v="95531"/>
    <n v="119122"/>
  </r>
  <r>
    <x v="19"/>
    <x v="19"/>
    <n v="86223"/>
    <n v="80002"/>
    <n v="103083"/>
    <n v="122385"/>
    <n v="151613"/>
  </r>
  <r>
    <x v="20"/>
    <x v="20"/>
    <n v="86345"/>
    <n v="80467"/>
    <n v="100535"/>
    <n v="127172"/>
    <n v="162422"/>
  </r>
  <r>
    <x v="21"/>
    <x v="21"/>
    <n v="60449"/>
    <n v="63380"/>
    <n v="75374"/>
    <n v="93873"/>
    <n v="111606"/>
  </r>
  <r>
    <x v="22"/>
    <x v="22"/>
    <n v="71817"/>
    <n v="71643"/>
    <n v="90946"/>
    <n v="114267"/>
    <n v="141324"/>
  </r>
  <r>
    <x v="23"/>
    <x v="23"/>
    <n v="42781"/>
    <n v="48603"/>
    <n v="60981"/>
    <n v="70950"/>
    <n v="86573"/>
  </r>
  <r>
    <x v="24"/>
    <x v="24"/>
    <n v="61726"/>
    <n v="61165"/>
    <n v="75277"/>
    <n v="89515"/>
    <n v="109302"/>
  </r>
  <r>
    <x v="25"/>
    <x v="25"/>
    <n v="57679"/>
    <n v="64836"/>
    <n v="77872"/>
    <n v="84019"/>
    <n v="109438"/>
  </r>
  <r>
    <x v="26"/>
    <x v="26"/>
    <n v="67575"/>
    <n v="65223"/>
    <n v="83790"/>
    <n v="99845"/>
    <n v="115269"/>
  </r>
  <r>
    <x v="27"/>
    <x v="27"/>
    <n v="61864"/>
    <n v="63473"/>
    <n v="75983"/>
    <n v="86618"/>
    <n v="95950"/>
  </r>
  <r>
    <x v="28"/>
    <x v="28"/>
    <n v="81346"/>
    <n v="83877"/>
    <n v="98248"/>
    <n v="136886"/>
    <n v="151546"/>
  </r>
  <r>
    <x v="29"/>
    <x v="29"/>
    <n v="74176"/>
    <n v="83898"/>
    <n v="99056"/>
    <n v="122540"/>
    <n v="155510"/>
  </r>
  <r>
    <x v="30"/>
    <x v="30"/>
    <n v="48283"/>
    <n v="54193"/>
    <n v="69208"/>
    <n v="71283"/>
    <n v="82110"/>
  </r>
  <r>
    <x v="31"/>
    <x v="31"/>
    <n v="67274"/>
    <n v="68814"/>
    <n v="84958"/>
    <n v="103444"/>
    <n v="126167"/>
  </r>
  <r>
    <x v="32"/>
    <x v="32"/>
    <n v="53369"/>
    <n v="60072"/>
    <n v="74849"/>
    <n v="87369"/>
    <n v="107128"/>
  </r>
  <r>
    <x v="33"/>
    <x v="33"/>
    <n v="66505"/>
    <n v="70125"/>
    <n v="90049"/>
    <n v="93240"/>
    <n v="124290"/>
  </r>
  <r>
    <x v="34"/>
    <x v="34"/>
    <n v="61633"/>
    <n v="61955"/>
    <n v="76131"/>
    <n v="90912"/>
    <n v="110062"/>
  </r>
  <r>
    <x v="35"/>
    <x v="35"/>
    <n v="54434"/>
    <n v="55358"/>
    <n v="69182"/>
    <n v="77166"/>
    <n v="90043"/>
  </r>
  <r>
    <x v="36"/>
    <x v="36"/>
    <n v="69165"/>
    <n v="69653"/>
    <n v="84418"/>
    <n v="101989"/>
    <n v="118493"/>
  </r>
  <r>
    <x v="37"/>
    <x v="37"/>
    <n v="64524"/>
    <n v="66454"/>
    <n v="80321"/>
    <n v="100888"/>
    <n v="122083"/>
  </r>
  <r>
    <x v="38"/>
    <x v="38"/>
    <n v="62266"/>
    <n v="70858"/>
    <n v="90196"/>
    <n v="109514"/>
    <n v="130123"/>
  </r>
  <r>
    <x v="39"/>
    <x v="39"/>
    <n v="57444"/>
    <n v="59511"/>
    <n v="72416"/>
    <n v="82114"/>
    <n v="100609"/>
  </r>
  <r>
    <x v="40"/>
    <x v="40"/>
    <n v="59463"/>
    <n v="57253"/>
    <n v="82039"/>
    <n v="92794"/>
    <n v="104379"/>
  </r>
  <r>
    <x v="41"/>
    <x v="41"/>
    <n v="56060"/>
    <n v="57246"/>
    <n v="71828"/>
    <n v="85014"/>
    <n v="95796"/>
  </r>
  <r>
    <x v="42"/>
    <x v="42"/>
    <n v="59785"/>
    <n v="60040"/>
    <n v="77611"/>
    <n v="87228"/>
    <n v="101753"/>
  </r>
  <r>
    <x v="43"/>
    <x v="43"/>
    <n v="68718"/>
    <n v="60971"/>
    <n v="81351"/>
    <n v="95739"/>
    <n v="115320"/>
  </r>
  <r>
    <x v="44"/>
    <x v="44"/>
    <n v="77067"/>
    <n v="72772"/>
    <n v="81900"/>
    <n v="102941"/>
    <n v="111065"/>
  </r>
  <r>
    <x v="45"/>
    <x v="45"/>
    <n v="70066"/>
    <n v="69936"/>
    <n v="86394"/>
    <n v="103763"/>
    <n v="126550"/>
  </r>
  <r>
    <x v="46"/>
    <x v="46"/>
    <n v="77151"/>
    <n v="75376"/>
    <n v="93328"/>
    <n v="111017"/>
    <n v="134252"/>
  </r>
  <r>
    <x v="47"/>
    <x v="47"/>
    <n v="79726"/>
    <n v="83121"/>
    <n v="96890"/>
    <n v="116345"/>
    <n v="138487"/>
  </r>
  <r>
    <x v="48"/>
    <x v="48"/>
    <n v="50573"/>
    <n v="56420"/>
    <n v="62974"/>
    <n v="81964"/>
    <n v="90258"/>
  </r>
  <r>
    <x v="49"/>
    <x v="49"/>
    <n v="62629"/>
    <n v="63146"/>
    <n v="81854"/>
    <n v="99261"/>
    <n v="118441"/>
  </r>
  <r>
    <x v="50"/>
    <x v="50"/>
    <n v="62539"/>
    <n v="65457"/>
    <n v="82531"/>
    <n v="93651"/>
    <n v="1044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7EC90-D293-B64A-B12B-942F98FF13FD}" name="PivotTable11"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tate">
  <location ref="F5:I6" firstHeaderRow="0" firstDataRow="1" firstDataCol="1"/>
  <pivotFields count="7">
    <pivotField axis="axisRow" showAll="0">
      <items count="52">
        <item h="1" x="0"/>
        <item h="1" x="1"/>
        <item h="1" x="2"/>
        <item h="1" x="3"/>
        <item h="1" x="4"/>
        <item h="1" x="5"/>
        <item h="1" x="6"/>
        <item h="1" x="7"/>
        <item h="1" x="8"/>
        <item h="1" x="9"/>
        <item h="1" x="10"/>
        <item h="1" x="11"/>
        <item h="1" x="12"/>
        <item h="1" x="13"/>
        <item h="1" x="14"/>
        <item h="1" x="43"/>
        <item h="1" x="15"/>
        <item h="1" x="16"/>
        <item h="1" x="17"/>
        <item h="1" x="18"/>
        <item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4"/>
        <item h="1" x="45"/>
        <item h="1" x="46"/>
        <item h="1" x="47"/>
        <item h="1" x="48"/>
        <item h="1" x="49"/>
        <item h="1" x="50"/>
        <item t="default"/>
      </items>
    </pivotField>
    <pivotField dataField="1" numFmtId="166" showAll="0">
      <items count="52">
        <item x="23"/>
        <item x="3"/>
        <item x="17"/>
        <item x="16"/>
        <item x="32"/>
        <item x="41"/>
        <item x="30"/>
        <item x="0"/>
        <item x="48"/>
        <item x="34"/>
        <item x="39"/>
        <item x="25"/>
        <item x="9"/>
        <item x="14"/>
        <item x="2"/>
        <item x="27"/>
        <item x="31"/>
        <item x="12"/>
        <item x="10"/>
        <item x="35"/>
        <item x="7"/>
        <item x="18"/>
        <item x="40"/>
        <item x="24"/>
        <item x="15"/>
        <item x="21"/>
        <item x="13"/>
        <item x="36"/>
        <item x="37"/>
        <item x="42"/>
        <item x="26"/>
        <item x="49"/>
        <item x="43"/>
        <item x="45"/>
        <item x="33"/>
        <item x="38"/>
        <item x="11"/>
        <item x="4"/>
        <item x="5"/>
        <item x="50"/>
        <item x="44"/>
        <item x="22"/>
        <item x="47"/>
        <item x="1"/>
        <item x="20"/>
        <item x="6"/>
        <item x="46"/>
        <item x="8"/>
        <item x="29"/>
        <item x="28"/>
        <item x="19"/>
        <item t="default"/>
      </items>
    </pivotField>
    <pivotField dataField="1" numFmtId="166" showAll="0"/>
    <pivotField dataField="1" numFmtId="166" showAll="0"/>
    <pivotField numFmtId="166" showAll="0"/>
    <pivotField numFmtId="166" showAll="0"/>
    <pivotField numFmtId="166" showAll="0"/>
  </pivotFields>
  <rowFields count="1">
    <field x="0"/>
  </rowFields>
  <rowItems count="1">
    <i>
      <x v="20"/>
    </i>
  </rowItems>
  <colFields count="1">
    <field x="-2"/>
  </colFields>
  <colItems count="3">
    <i>
      <x/>
    </i>
    <i i="1">
      <x v="1"/>
    </i>
    <i i="2">
      <x v="2"/>
    </i>
  </colItems>
  <dataFields count="3">
    <dataField name="2012 Income" fld="1" subtotal="average" baseField="0" baseItem="0" numFmtId="166"/>
    <dataField name="2018 Income" fld="2" subtotal="average" baseField="0" baseItem="0" numFmtId="166"/>
    <dataField name="2023 Income" fld="3" subtotal="average" baseField="0" baseItem="0" numFmtId="166"/>
  </dataFields>
  <formats count="22">
    <format dxfId="73">
      <pivotArea field="0" type="button" dataOnly="0" labelOnly="1" outline="0" axis="axisRow" fieldPosition="0"/>
    </format>
    <format dxfId="72">
      <pivotArea dataOnly="0" labelOnly="1" outline="0" fieldPosition="0">
        <references count="1">
          <reference field="4294967294" count="3">
            <x v="0"/>
            <x v="1"/>
            <x v="2"/>
          </reference>
        </references>
      </pivotArea>
    </format>
    <format dxfId="71">
      <pivotArea field="0" type="button" dataOnly="0" labelOnly="1" outline="0" axis="axisRow" fieldPosition="0"/>
    </format>
    <format dxfId="70">
      <pivotArea dataOnly="0" labelOnly="1" outline="0" fieldPosition="0">
        <references count="1">
          <reference field="4294967294" count="3">
            <x v="0"/>
            <x v="1"/>
            <x v="2"/>
          </reference>
        </references>
      </pivotArea>
    </format>
    <format dxfId="69">
      <pivotArea field="0" type="button" dataOnly="0" labelOnly="1" outline="0" axis="axisRow" fieldPosition="0"/>
    </format>
    <format dxfId="68">
      <pivotArea dataOnly="0" labelOnly="1" outline="0" fieldPosition="0">
        <references count="1">
          <reference field="4294967294" count="3">
            <x v="0"/>
            <x v="1"/>
            <x v="2"/>
          </reference>
        </references>
      </pivotArea>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3">
      <pivotArea dataOnly="0" labelOnly="1" fieldPosition="0">
        <references count="1">
          <reference field="0" count="1">
            <x v="50"/>
          </reference>
        </references>
      </pivotArea>
    </format>
    <format dxfId="62">
      <pivotArea dataOnly="0" labelOnly="1" outline="0" fieldPosition="0">
        <references count="1">
          <reference field="4294967294" count="3">
            <x v="0"/>
            <x v="1"/>
            <x v="2"/>
          </reference>
        </references>
      </pivotArea>
    </format>
    <format dxfId="61">
      <pivotArea type="all" dataOnly="0" outline="0" fieldPosition="0"/>
    </format>
    <format dxfId="60">
      <pivotArea outline="0" collapsedLevelsAreSubtotals="1" fieldPosition="0"/>
    </format>
    <format dxfId="59">
      <pivotArea dataOnly="0" labelOnly="1" fieldPosition="0">
        <references count="1">
          <reference field="0" count="0"/>
        </references>
      </pivotArea>
    </format>
    <format dxfId="58">
      <pivotArea type="all" dataOnly="0" outline="0" fieldPosition="0"/>
    </format>
    <format dxfId="57">
      <pivotArea outline="0" collapsedLevelsAreSubtotals="1" fieldPosition="0"/>
    </format>
    <format dxfId="56">
      <pivotArea dataOnly="0" labelOnly="1" fieldPosition="0">
        <references count="1">
          <reference field="0" count="0"/>
        </references>
      </pivotArea>
    </format>
    <format dxfId="55">
      <pivotArea field="0" type="button" dataOnly="0" labelOnly="1" outline="0" axis="axisRow" fieldPosition="0"/>
    </format>
    <format dxfId="54">
      <pivotArea dataOnly="0" labelOnly="1" outline="0" fieldPosition="0">
        <references count="1">
          <reference field="4294967294" count="3">
            <x v="0"/>
            <x v="1"/>
            <x v="2"/>
          </reference>
        </references>
      </pivotArea>
    </format>
    <format dxfId="53">
      <pivotArea field="0" type="button" dataOnly="0" labelOnly="1" outline="0" axis="axisRow" fieldPosition="0"/>
    </format>
    <format dxfId="52">
      <pivotArea dataOnly="0" labelOnly="1" outline="0" fieldPosition="0">
        <references count="1">
          <reference field="4294967294" count="3">
            <x v="0"/>
            <x v="1"/>
            <x v="2"/>
          </reference>
        </references>
      </pivotArea>
    </format>
  </formats>
  <chartFormats count="3">
    <chartFormat chart="2" format="1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68001E-1A01-FB4D-8EC9-48B320AD9E13}" name="Unemp_Rate" cacheId="2" applyNumberFormats="0" applyBorderFormats="0" applyFontFormats="0" applyPatternFormats="0" applyAlignmentFormats="0" applyWidthHeightFormats="1" dataCaption="Values" grandTotalCaption="United States" updatedVersion="8" minRefreshableVersion="3" useAutoFormatting="1" rowGrandTotals="0" colGrandTotals="0" itemPrintTitles="1" createdVersion="8" indent="0" outline="1" outlineData="1" multipleFieldFilters="0" chartFormat="9" rowHeaderCaption="State">
  <location ref="F5:J8" firstHeaderRow="0" firstDataRow="1" firstDataCol="1"/>
  <pivotFields count="5">
    <pivotField axis="axisRow" showAll="0">
      <items count="52">
        <item h="1" x="6"/>
        <item h="1" x="44"/>
        <item h="1" x="32"/>
        <item h="1" x="24"/>
        <item h="1" x="47"/>
        <item h="1" x="18"/>
        <item x="40"/>
        <item x="45"/>
        <item h="1" x="49"/>
        <item h="1" x="17"/>
        <item h="1" x="19"/>
        <item h="1" x="25"/>
        <item h="1" x="14"/>
        <item x="48"/>
        <item h="1" x="21"/>
        <item h="1" x="11"/>
        <item h="1" x="7"/>
        <item h="1" x="38"/>
        <item h="1" x="30"/>
        <item h="1" x="12"/>
        <item h="1" x="16"/>
        <item h="1" x="28"/>
        <item h="1" x="42"/>
        <item h="1" x="8"/>
        <item h="1" x="31"/>
        <item h="1" x="9"/>
        <item h="1" x="10"/>
        <item h="1" x="2"/>
        <item h="1" x="50"/>
        <item h="1" x="4"/>
        <item h="1" x="36"/>
        <item h="1" x="41"/>
        <item h="1" x="46"/>
        <item h="1" x="29"/>
        <item h="1" x="0"/>
        <item h="1" x="37"/>
        <item h="1" x="20"/>
        <item h="1" x="33"/>
        <item h="1" x="39"/>
        <item h="1" x="22"/>
        <item h="1" x="23"/>
        <item h="1" x="1"/>
        <item h="1" x="27"/>
        <item h="1" x="34"/>
        <item h="1" x="5"/>
        <item h="1" x="3"/>
        <item h="1" x="13"/>
        <item h="1" x="43"/>
        <item h="1" x="35"/>
        <item h="1" x="15"/>
        <item h="1" x="26"/>
        <item t="default"/>
      </items>
    </pivotField>
    <pivotField dataField="1" showAll="0">
      <items count="41">
        <item x="1"/>
        <item x="2"/>
        <item x="5"/>
        <item x="0"/>
        <item x="11"/>
        <item x="10"/>
        <item x="12"/>
        <item x="3"/>
        <item x="7"/>
        <item x="20"/>
        <item x="18"/>
        <item x="9"/>
        <item x="8"/>
        <item x="6"/>
        <item x="15"/>
        <item x="4"/>
        <item x="14"/>
        <item x="23"/>
        <item x="16"/>
        <item x="21"/>
        <item x="36"/>
        <item x="27"/>
        <item x="28"/>
        <item x="26"/>
        <item x="32"/>
        <item x="25"/>
        <item x="13"/>
        <item x="29"/>
        <item x="35"/>
        <item x="34"/>
        <item x="24"/>
        <item x="31"/>
        <item x="17"/>
        <item x="22"/>
        <item x="30"/>
        <item x="37"/>
        <item x="33"/>
        <item x="38"/>
        <item x="19"/>
        <item x="39"/>
        <item t="default"/>
      </items>
    </pivotField>
    <pivotField dataField="1" showAll="0">
      <items count="29">
        <item x="1"/>
        <item x="4"/>
        <item x="0"/>
        <item x="5"/>
        <item x="3"/>
        <item x="2"/>
        <item x="6"/>
        <item x="8"/>
        <item x="10"/>
        <item x="13"/>
        <item x="7"/>
        <item x="15"/>
        <item x="9"/>
        <item x="17"/>
        <item x="19"/>
        <item x="11"/>
        <item x="16"/>
        <item x="12"/>
        <item x="18"/>
        <item x="24"/>
        <item x="21"/>
        <item x="14"/>
        <item x="26"/>
        <item x="22"/>
        <item x="20"/>
        <item x="27"/>
        <item x="23"/>
        <item x="25"/>
        <item t="default"/>
      </items>
    </pivotField>
    <pivotField dataField="1" showAll="0">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s>
  <rowFields count="1">
    <field x="0"/>
  </rowFields>
  <rowItems count="3">
    <i>
      <x v="6"/>
    </i>
    <i>
      <x v="7"/>
    </i>
    <i>
      <x v="13"/>
    </i>
  </rowItems>
  <colFields count="1">
    <field x="-2"/>
  </colFields>
  <colItems count="4">
    <i>
      <x/>
    </i>
    <i i="1">
      <x v="1"/>
    </i>
    <i i="2">
      <x v="2"/>
    </i>
    <i i="3">
      <x v="3"/>
    </i>
  </colItems>
  <dataFields count="4">
    <dataField name="2020 Rate" fld="1" subtotal="average" baseField="0" baseItem="0" numFmtId="2"/>
    <dataField name="2021 Rate" fld="2" subtotal="average" baseField="0" baseItem="0" numFmtId="2"/>
    <dataField name="2022 Rate" fld="3" subtotal="average" baseField="0" baseItem="0" numFmtId="2"/>
    <dataField name="2023 Rate" fld="4" subtotal="average" baseField="0" baseItem="0" numFmtId="2"/>
  </dataFields>
  <formats count="21">
    <format dxfId="51">
      <pivotArea field="0" type="button" dataOnly="0" labelOnly="1" outline="0" axis="axisRow" fieldPosition="0"/>
    </format>
    <format dxfId="50">
      <pivotArea dataOnly="0" labelOnly="1" outline="0" fieldPosition="0">
        <references count="1">
          <reference field="4294967294" count="4">
            <x v="0"/>
            <x v="1"/>
            <x v="2"/>
            <x v="3"/>
          </reference>
        </references>
      </pivotArea>
    </format>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5">
      <pivotArea dataOnly="0" labelOnly="1" fieldPosition="0">
        <references count="1">
          <reference field="0" count="1">
            <x v="50"/>
          </reference>
        </references>
      </pivotArea>
    </format>
    <format dxfId="44">
      <pivotArea dataOnly="0" labelOnly="1" outline="0" fieldPosition="0">
        <references count="1">
          <reference field="4294967294" count="4">
            <x v="0"/>
            <x v="1"/>
            <x v="2"/>
            <x v="3"/>
          </reference>
        </references>
      </pivotArea>
    </format>
    <format dxfId="43">
      <pivotArea type="all" dataOnly="0" outline="0" fieldPosition="0"/>
    </format>
    <format dxfId="42">
      <pivotArea outline="0" collapsedLevelsAreSubtotals="1" fieldPosition="0"/>
    </format>
    <format dxfId="41">
      <pivotArea field="0" type="button" dataOnly="0" labelOnly="1" outline="0" axis="axisRow" fieldPosition="0"/>
    </format>
    <format dxfId="40">
      <pivotArea dataOnly="0" labelOnly="1" fieldPosition="0">
        <references count="1">
          <reference field="0" count="0"/>
        </references>
      </pivotArea>
    </format>
    <format dxfId="39">
      <pivotArea dataOnly="0" labelOnly="1" outline="0" fieldPosition="0">
        <references count="1">
          <reference field="4294967294" count="4">
            <x v="0"/>
            <x v="1"/>
            <x v="2"/>
            <x v="3"/>
          </reference>
        </references>
      </pivotArea>
    </format>
    <format dxfId="38">
      <pivotArea field="0" type="button" dataOnly="0" labelOnly="1" outline="0" axis="axisRow" fieldPosition="0"/>
    </format>
    <format dxfId="37">
      <pivotArea dataOnly="0" labelOnly="1" outline="0" fieldPosition="0">
        <references count="1">
          <reference field="4294967294" count="4">
            <x v="0"/>
            <x v="1"/>
            <x v="2"/>
            <x v="3"/>
          </reference>
        </references>
      </pivotArea>
    </format>
    <format dxfId="36">
      <pivotArea field="0" type="button" dataOnly="0" labelOnly="1" outline="0" axis="axisRow" fieldPosition="0"/>
    </format>
    <format dxfId="35">
      <pivotArea dataOnly="0" labelOnly="1" outline="0" fieldPosition="0">
        <references count="1">
          <reference field="4294967294" count="4">
            <x v="0"/>
            <x v="1"/>
            <x v="2"/>
            <x v="3"/>
          </reference>
        </references>
      </pivotArea>
    </format>
    <format dxfId="34">
      <pivotArea field="0" type="button" dataOnly="0" labelOnly="1" outline="0" axis="axisRow" fieldPosition="0"/>
    </format>
    <format dxfId="33">
      <pivotArea dataOnly="0" labelOnly="1" outline="0" fieldPosition="0">
        <references count="1">
          <reference field="4294967294" count="4">
            <x v="0"/>
            <x v="1"/>
            <x v="2"/>
            <x v="3"/>
          </reference>
        </references>
      </pivotArea>
    </format>
    <format dxfId="32">
      <pivotArea field="0" type="button" dataOnly="0" labelOnly="1" outline="0" axis="axisRow" fieldPosition="0"/>
    </format>
    <format dxfId="31">
      <pivotArea dataOnly="0" labelOnly="1" outline="0" fieldPosition="0">
        <references count="1">
          <reference field="4294967294" count="4">
            <x v="0"/>
            <x v="1"/>
            <x v="2"/>
            <x v="3"/>
          </reference>
        </references>
      </pivotArea>
    </format>
  </formats>
  <chartFormats count="4">
    <chartFormat chart="5" format="132" series="1">
      <pivotArea type="data" outline="0" fieldPosition="0">
        <references count="1">
          <reference field="4294967294" count="1" selected="0">
            <x v="0"/>
          </reference>
        </references>
      </pivotArea>
    </chartFormat>
    <chartFormat chart="5" format="133" series="1">
      <pivotArea type="data" outline="0" fieldPosition="0">
        <references count="1">
          <reference field="4294967294" count="1" selected="0">
            <x v="1"/>
          </reference>
        </references>
      </pivotArea>
    </chartFormat>
    <chartFormat chart="5" format="134" series="1">
      <pivotArea type="data" outline="0" fieldPosition="0">
        <references count="1">
          <reference field="4294967294" count="1" selected="0">
            <x v="2"/>
          </reference>
        </references>
      </pivotArea>
    </chartFormat>
    <chartFormat chart="5" format="1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E257E46D-FFDC-9046-A8DF-427902F5A219}" sourceName="State">
  <pivotTables>
    <pivotTable tabId="21" name="Unemp_Rate"/>
  </pivotTables>
  <data>
    <tabular pivotCacheId="78252555">
      <items count="51">
        <i x="6"/>
        <i x="44"/>
        <i x="32"/>
        <i x="24"/>
        <i x="47"/>
        <i x="18"/>
        <i x="40" s="1"/>
        <i x="45" s="1"/>
        <i x="49"/>
        <i x="17"/>
        <i x="19"/>
        <i x="25"/>
        <i x="14"/>
        <i x="48" s="1"/>
        <i x="21"/>
        <i x="11"/>
        <i x="7"/>
        <i x="38"/>
        <i x="30"/>
        <i x="12"/>
        <i x="16"/>
        <i x="28"/>
        <i x="42"/>
        <i x="8"/>
        <i x="31"/>
        <i x="9"/>
        <i x="10"/>
        <i x="2"/>
        <i x="50"/>
        <i x="4"/>
        <i x="36"/>
        <i x="41"/>
        <i x="46"/>
        <i x="29"/>
        <i x="0"/>
        <i x="37"/>
        <i x="20"/>
        <i x="33"/>
        <i x="39"/>
        <i x="22"/>
        <i x="23"/>
        <i x="1"/>
        <i x="27"/>
        <i x="34"/>
        <i x="5"/>
        <i x="3"/>
        <i x="13"/>
        <i x="43"/>
        <i x="35"/>
        <i x="15"/>
        <i x="2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 xr10:uid="{EB05F7E2-8BC9-435E-BB82-182DFCFCEE81}" sourceName="States">
  <pivotTables>
    <pivotTable tabId="22" name="PivotTable11"/>
  </pivotTables>
  <data>
    <tabular pivotCacheId="638214353">
      <items count="51">
        <i x="0"/>
        <i x="1"/>
        <i x="2"/>
        <i x="3"/>
        <i x="4"/>
        <i x="5"/>
        <i x="6"/>
        <i x="7"/>
        <i x="8"/>
        <i x="9"/>
        <i x="10"/>
        <i x="11"/>
        <i x="12"/>
        <i x="13"/>
        <i x="14"/>
        <i x="43"/>
        <i x="15"/>
        <i x="16"/>
        <i x="17"/>
        <i x="18"/>
        <i x="19" s="1"/>
        <i x="20"/>
        <i x="21"/>
        <i x="22"/>
        <i x="23"/>
        <i x="24"/>
        <i x="25"/>
        <i x="26"/>
        <i x="27"/>
        <i x="28"/>
        <i x="29"/>
        <i x="30"/>
        <i x="31"/>
        <i x="32"/>
        <i x="33"/>
        <i x="34"/>
        <i x="35"/>
        <i x="36"/>
        <i x="37"/>
        <i x="38"/>
        <i x="39"/>
        <i x="40"/>
        <i x="41"/>
        <i x="42"/>
        <i x="44"/>
        <i x="45"/>
        <i x="46"/>
        <i x="47"/>
        <i x="48"/>
        <i x="49"/>
        <i x="5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_Slicer" xr10:uid="{062B5EB7-7CAC-49C5-A714-30C4374C7646}" cache="Slicer_States" caption="States" columnCount="2" style="SlicerStyleLight6"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emp_Slicer" xr10:uid="{0F0B8A22-5D6F-3F4E-865B-0756500EFB11}" cache="Slicer_State1" caption="State" columnCount="2" style="SlicerStyleLight6"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320E48-0DE4-4F28-891D-A021857B1809}" name="Table3" displayName="Table3" ref="B15:C25" totalsRowShown="0" headerRowDxfId="113" dataDxfId="111" headerRowBorderDxfId="112" tableBorderDxfId="110" totalsRowBorderDxfId="109">
  <tableColumns count="2">
    <tableColumn id="1" xr3:uid="{C6783AF8-FDFD-4275-A5DE-A3A32CB0A7C8}" name="Data" dataDxfId="108"/>
    <tableColumn id="2" xr3:uid="{6A217A96-F21A-48EA-B32A-B14A2D31D9B6}" name="Sources" dataDxfId="107" dataCellStyle="Hyperlink"/>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0D5A38A-1955-A74B-8A59-D8800E6D2905}" name="Edu_Rank" displayName="Edu_Rank" ref="D4:G55" totalsRowShown="0" headerRowDxfId="106" dataDxfId="104" headerRowBorderDxfId="105" tableBorderDxfId="103" totalsRowBorderDxfId="102">
  <sortState xmlns:xlrd2="http://schemas.microsoft.com/office/spreadsheetml/2017/richdata2" ref="D5:G55">
    <sortCondition ref="G4:G55"/>
  </sortState>
  <tableColumns count="4">
    <tableColumn id="1" xr3:uid="{053DE422-9E30-5146-8CA6-6A7BBD655544}" name="State" dataDxfId="101"/>
    <tableColumn id="5" xr3:uid="{1795D962-70EE-41D1-8DE4-53D87D204EB8}" name="Student Success" dataDxfId="100"/>
    <tableColumn id="6" xr3:uid="{A987B113-1986-4DE5-80F3-478CB594EDEC}" name="Student Safety" dataDxfId="99"/>
    <tableColumn id="7" xr3:uid="{649A9848-8019-4F73-9FBB-ABDBF392D864}" name="School Quality" dataDxfId="98"/>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FF3DE7-912F-B549-B63B-3D3AFB03CF25}" name="Liv_Cond" displayName="Liv_Cond" ref="B7:J58" totalsRowShown="0" headerRowDxfId="97" dataDxfId="95" headerRowBorderDxfId="96" tableBorderDxfId="94" totalsRowBorderDxfId="93">
  <sortState xmlns:xlrd2="http://schemas.microsoft.com/office/spreadsheetml/2017/richdata2" ref="B8:J58">
    <sortCondition ref="J7:J58"/>
  </sortState>
  <tableColumns count="9">
    <tableColumn id="1" xr3:uid="{E8D594BF-06C0-3E49-A8FE-9CD2A8ECCE42}" name="State" dataDxfId="92"/>
    <tableColumn id="2" xr3:uid="{FF862AAD-9151-D24F-85FF-FA5DC2B25EBA}" name="AvgTempF" dataDxfId="91"/>
    <tableColumn id="3" xr3:uid="{7923734F-7C0D-5940-B0D8-3F603985187D}" name="AvgTempC" dataDxfId="90"/>
    <tableColumn id="5" xr3:uid="{09756161-9019-104E-8356-D68043EEDE12}" name="AvgAnnualSunlight (kJ/m^2)" dataDxfId="89" dataCellStyle="Comma"/>
    <tableColumn id="6" xr3:uid="{157C062C-52D4-9E40-9DB0-D1D4D2E7C553}" name="AvgAnnualPrecipitation (in)" dataDxfId="88" dataCellStyle="Comma"/>
    <tableColumn id="4" xr3:uid="{FD0D12F0-3647-4544-A9A2-C163D82E4A39}" name="AvgAnnualSnowfall (in)" dataDxfId="87"/>
    <tableColumn id="7" xr3:uid="{7B96CA9B-BD59-5044-A55F-49049FFE0E68}" name="NumOfExtremeWeatherEvents" dataDxfId="86"/>
    <tableColumn id="9" xr3:uid="{3CA50353-87CF-5A4C-A835-65CD082DDD69}" name="Crime Cases" dataDxfId="85" dataCellStyle="Comma"/>
    <tableColumn id="10" xr3:uid="{589CB769-1F20-CC45-9979-3976AC42089A}" name="Population" dataDxfId="84" dataCellStyle="Comma"/>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24E2CE-B2F7-4B42-A01C-40E1BC5909AD}" name="Income_Expenses" displayName="Income_Expenses" ref="B10:F61" totalsRowShown="0" headerRowDxfId="83" dataDxfId="81" headerRowBorderDxfId="82" tableBorderDxfId="80" totalsRowBorderDxfId="79">
  <sortState xmlns:xlrd2="http://schemas.microsoft.com/office/spreadsheetml/2017/richdata2" ref="B11:F61">
    <sortCondition ref="B10:B61"/>
  </sortState>
  <tableColumns count="5">
    <tableColumn id="1" xr3:uid="{4BFBC8A6-D2F2-5B49-9244-013EB48191F5}" name="State" dataDxfId="78"/>
    <tableColumn id="2" xr3:uid="{BF7EBA4D-6D6A-4A49-826A-BB3533B651EE}" name="Monthly Rent" dataDxfId="77"/>
    <tableColumn id="3" xr3:uid="{EFD2E601-B532-9E4A-9E4B-A9B905AF84D8}" name="Monthly Grocery" dataDxfId="76" dataCellStyle="Currency"/>
    <tableColumn id="4" xr3:uid="{1569F60B-2FEA-504C-9EA8-852EB4AB5586}" name="Monthly Income" dataDxfId="75" dataCellStyle="Currency">
      <calculatedColumnFormula>Income_Expenses[[#This Row],[Annual Income]]/12</calculatedColumnFormula>
    </tableColumn>
    <tableColumn id="5" xr3:uid="{CD955C8A-81C0-EF48-B2FC-81B4DA4C9D45}" name="Annual Income" dataDxfId="74" dataCellStyle="Currency"/>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AA75FD-079B-EB4B-8D0B-FADBAE75A446}" name="Pop_Est" displayName="Pop_Est" ref="B4:F55" totalsRowShown="0">
  <autoFilter ref="B4:F55" xr:uid="{C5AA75FD-079B-EB4B-8D0B-FADBAE75A446}"/>
  <tableColumns count="5">
    <tableColumn id="1" xr3:uid="{4D8CD4E9-5790-2C49-9FEF-D267360A6924}" name="State"/>
    <tableColumn id="2" xr3:uid="{1F784540-F599-2D47-8A97-EB655BF657F5}" name="2020 Population" dataDxfId="30" dataCellStyle="Comma"/>
    <tableColumn id="3" xr3:uid="{B2C7982A-0CE1-B640-8025-B1CF8C5CCF9F}" name="2021 Population" dataDxfId="29" dataCellStyle="Comma"/>
    <tableColumn id="4" xr3:uid="{BD7C64B2-4790-2644-9C52-C6207E694F23}" name="2022 Population" dataDxfId="28" dataCellStyle="Comma"/>
    <tableColumn id="5" xr3:uid="{69197ECE-2921-C44B-982A-93D47B03FA75}" name="2023 Population" dataDxfId="27" dataCellStyle="Comma"/>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E5DAC-D592-8246-8F0B-4D64E399708F}" name="CoL_Index" displayName="CoL_Index" ref="B4:J55" totalsRowShown="0" headerRowDxfId="26" dataDxfId="24" headerRowBorderDxfId="25" tableBorderDxfId="23" totalsRowBorderDxfId="22">
  <autoFilter ref="B4:J55" xr:uid="{346E5DAC-D592-8246-8F0B-4D64E399708F}"/>
  <sortState xmlns:xlrd2="http://schemas.microsoft.com/office/spreadsheetml/2017/richdata2" ref="B5:J55">
    <sortCondition ref="B4:B55"/>
  </sortState>
  <tableColumns count="9">
    <tableColumn id="2" xr3:uid="{7D4738C8-9D5E-874E-9AF5-448A6B89FC21}" name="State" dataDxfId="21"/>
    <tableColumn id="1" xr3:uid="{A54DFD3C-888E-8A48-8286-6C4E22970631}" name="Rank" dataDxfId="20"/>
    <tableColumn id="3" xr3:uid="{C6CDA0E1-B56F-7145-82DC-99388D83280C}" name="Index" dataDxfId="19"/>
    <tableColumn id="4" xr3:uid="{9D750155-10C0-3544-AFD3-9F0B035A2FD2}" name="Grocery" dataDxfId="18"/>
    <tableColumn id="5" xr3:uid="{5C5824EE-88C8-504C-B20B-2205E90EF089}" name="Housing" dataDxfId="17"/>
    <tableColumn id="6" xr3:uid="{FD5D437D-5C12-0040-B935-62F76B3CC9CA}" name="Utilities" dataDxfId="16"/>
    <tableColumn id="7" xr3:uid="{2E7A917D-B84E-E64A-AD05-78ACC330D943}" name="Transportation" dataDxfId="15"/>
    <tableColumn id="8" xr3:uid="{EB014FAB-B52E-214B-B0C3-C909742CDA4A}" name="Health " dataDxfId="14"/>
    <tableColumn id="9" xr3:uid="{FD05818C-93C8-8D48-9819-3A50B2E5216C}" name="Misc." dataDxfId="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E88DC01-1B54-BB4B-913E-5099B6CF73D3}" name="Median_Income" displayName="Median_Income" ref="B4:H55" totalsRowShown="0" headerRowDxfId="12">
  <sortState xmlns:xlrd2="http://schemas.microsoft.com/office/spreadsheetml/2017/richdata2" ref="B5:H55">
    <sortCondition descending="1" ref="H4:H55"/>
  </sortState>
  <tableColumns count="7">
    <tableColumn id="1" xr3:uid="{9EBDC50A-0564-824F-8D7E-80A4755AB229}" name="States"/>
    <tableColumn id="3" xr3:uid="{24B3BE19-6489-424F-B969-93BDD3C18353}" name="1 Earner (2012)" dataDxfId="11" dataCellStyle="Currency"/>
    <tableColumn id="2" xr3:uid="{18281221-48F9-464C-864A-7058E14CE142}" name="1 Earner (2018)" dataDxfId="10" dataCellStyle="Currency"/>
    <tableColumn id="4" xr3:uid="{D1289D09-EC29-9C4E-BB7E-29895EFC8F9F}" name="1 Earner (2023)" dataDxfId="9" dataCellStyle="Currency"/>
    <tableColumn id="5" xr3:uid="{BE6A1097-CDC6-5F44-89DF-A7BA3BCB2F49}" name="2 People" dataDxfId="8" dataCellStyle="Currency"/>
    <tableColumn id="6" xr3:uid="{C3960989-4A09-664E-8149-91B43A1153BE}" name="3 People" dataDxfId="7" dataCellStyle="Currency"/>
    <tableColumn id="7" xr3:uid="{97648648-34D5-664E-897F-4371E6F7617F}" name="4 People" dataDxfId="6" dataCellStyle="Currenc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84AECCF-D945-8141-8B91-4846A3309C00}" name="Unemp_Rate_Rank" displayName="Unemp_Rate_Rank" ref="B4:J55" totalsRowShown="0" headerRowDxfId="5">
  <autoFilter ref="B4:J55" xr:uid="{184AECCF-D945-8141-8B91-4846A3309C00}"/>
  <sortState xmlns:xlrd2="http://schemas.microsoft.com/office/spreadsheetml/2017/richdata2" ref="B5:J55">
    <sortCondition ref="B4:B55"/>
  </sortState>
  <tableColumns count="9">
    <tableColumn id="1" xr3:uid="{9B516D21-30CB-3149-B41F-1E7D70961C1A}" name="State"/>
    <tableColumn id="2" xr3:uid="{D83CA631-328A-5940-B698-BAD798B593E6}" name="2023 Rate (%)" dataDxfId="4" dataCellStyle="Comma"/>
    <tableColumn id="4" xr3:uid="{401AA0F1-141E-2B4B-91C9-BB28DAD790E2}" name="2022 Rate (%)" dataDxfId="3" dataCellStyle="Comma"/>
    <tableColumn id="6" xr3:uid="{6D9CFA49-B4AD-1343-94A4-582A6D4C3CC4}" name="2021 Rate (%)"/>
    <tableColumn id="8" xr3:uid="{0E4A371F-B40D-9941-A27C-D6E15336A82D}" name="2020 Rate (%)"/>
    <tableColumn id="3" xr3:uid="{3B5DD353-6276-D846-A03C-6A6DCAA794D6}" name="2023 Rank"/>
    <tableColumn id="5" xr3:uid="{73AFE0E4-DF59-9742-8D94-F3FE89CED829}" name="2022 Rank"/>
    <tableColumn id="7" xr3:uid="{1DEDB896-DA0E-8E4D-AAED-8038D168F344}" name="2021 Rank"/>
    <tableColumn id="9" xr3:uid="{AA33A51F-43F6-F445-9818-1382A0247929}" name="2020 Ra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statista.com/statistics/200445/reported-violent-crime-rate-in-the-us-states/" TargetMode="External"/><Relationship Id="rId3" Type="http://schemas.openxmlformats.org/officeDocument/2006/relationships/hyperlink" Target="https://worldpopulationreview.com/state-rankings/grocery-prices-by-state" TargetMode="External"/><Relationship Id="rId7" Type="http://schemas.openxmlformats.org/officeDocument/2006/relationships/hyperlink" Target="https://worldpopulationreview.com/state-rankings/public-school-rankings-by-state" TargetMode="External"/><Relationship Id="rId12" Type="http://schemas.openxmlformats.org/officeDocument/2006/relationships/table" Target="../tables/table1.xml"/><Relationship Id="rId2" Type="http://schemas.openxmlformats.org/officeDocument/2006/relationships/hyperlink" Target="https://www.forbes.com/advisor/mortgages/average-rent-by-state/" TargetMode="External"/><Relationship Id="rId1" Type="http://schemas.openxmlformats.org/officeDocument/2006/relationships/hyperlink" Target="https://meric.mo.gov/data/cost-living-data-series" TargetMode="External"/><Relationship Id="rId6" Type="http://schemas.openxmlformats.org/officeDocument/2006/relationships/hyperlink" Target="https://www.google.com/url?sa=t&amp;rct=j&amp;q=&amp;esrc=s&amp;source=web&amp;cd=&amp;cad=rja&amp;uact=8&amp;ved=2ahUKEwj-hs_yiOaFAxVwFVkFHbDPCRIQFnoECBIQAQ&amp;url=https%3A%2F%2Fdlt.ri.gov%2Fmedia%2F15101%2Fdownload%3Flanguage%3Den&amp;usg=AOvVaw1ETbZqy6x8LYHosKhxzdUH&amp;opi=89978449" TargetMode="External"/><Relationship Id="rId11" Type="http://schemas.openxmlformats.org/officeDocument/2006/relationships/drawing" Target="../drawings/drawing1.xml"/><Relationship Id="rId5" Type="http://schemas.openxmlformats.org/officeDocument/2006/relationships/hyperlink" Target="https://www.justice.gov/ust/eo/bapcpa/20230401/bci_data/median_income_table.htm" TargetMode="External"/><Relationship Id="rId10" Type="http://schemas.openxmlformats.org/officeDocument/2006/relationships/hyperlink" Target="https://www.census.gov/data/tables/time-series/demo/popest/2020s-state-total.html" TargetMode="External"/><Relationship Id="rId4" Type="http://schemas.openxmlformats.org/officeDocument/2006/relationships/hyperlink" Target="https://www2.census.gov/programs-surveys/cps/tables/time-series/historical-income-households/h08.xls" TargetMode="External"/><Relationship Id="rId9" Type="http://schemas.openxmlformats.org/officeDocument/2006/relationships/hyperlink" Target="https://worldpopulationreview.com/state-rankings/best-weather-by-state"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1.xml"/><Relationship Id="rId7"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ivotTable" Target="../pivotTables/pivotTable1.xml"/><Relationship Id="rId5" Type="http://schemas.openxmlformats.org/officeDocument/2006/relationships/comments" Target="../comments4.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ivotTable" Target="../pivotTables/pivotTable2.xml"/><Relationship Id="rId5" Type="http://schemas.openxmlformats.org/officeDocument/2006/relationships/comments" Target="../comments5.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F7672-FBF7-C34C-BAC5-517FDB6992C3}">
  <sheetPr codeName="Sheet1">
    <tabColor theme="6" tint="-0.249977111117893"/>
  </sheetPr>
  <dimension ref="B1:D25"/>
  <sheetViews>
    <sheetView tabSelected="1" zoomScale="125" workbookViewId="0">
      <selection activeCell="F9" sqref="F9"/>
    </sheetView>
  </sheetViews>
  <sheetFormatPr baseColWidth="10" defaultColWidth="11" defaultRowHeight="16"/>
  <cols>
    <col min="1" max="1" width="11" style="67"/>
    <col min="2" max="2" width="26" style="67" bestFit="1" customWidth="1"/>
    <col min="3" max="3" width="86.5" style="67" bestFit="1" customWidth="1"/>
    <col min="4" max="5" width="12.33203125" style="67" bestFit="1" customWidth="1"/>
    <col min="6" max="16384" width="11" style="67"/>
  </cols>
  <sheetData>
    <row r="1" spans="2:4" ht="27">
      <c r="B1" s="72"/>
      <c r="C1" s="72"/>
      <c r="D1" s="66"/>
    </row>
    <row r="2" spans="2:4" ht="22">
      <c r="B2" s="68"/>
      <c r="C2" s="68"/>
      <c r="D2" s="68"/>
    </row>
    <row r="8" spans="2:4" ht="22">
      <c r="B8" s="69"/>
    </row>
    <row r="9" spans="2:4" ht="22">
      <c r="B9" s="69"/>
    </row>
    <row r="10" spans="2:4" ht="22">
      <c r="B10" s="69"/>
    </row>
    <row r="11" spans="2:4" ht="22">
      <c r="B11" s="69"/>
    </row>
    <row r="15" spans="2:4" ht="19">
      <c r="B15" s="70" t="s">
        <v>113</v>
      </c>
      <c r="C15" s="71" t="s">
        <v>79</v>
      </c>
    </row>
    <row r="16" spans="2:4" ht="19">
      <c r="B16" s="48" t="s">
        <v>82</v>
      </c>
      <c r="C16" s="49" t="s">
        <v>80</v>
      </c>
    </row>
    <row r="17" spans="2:3" ht="19">
      <c r="B17" s="48" t="s">
        <v>83</v>
      </c>
      <c r="C17" s="49" t="s">
        <v>81</v>
      </c>
    </row>
    <row r="18" spans="2:3" ht="19">
      <c r="B18" s="48" t="s">
        <v>85</v>
      </c>
      <c r="C18" s="49" t="s">
        <v>84</v>
      </c>
    </row>
    <row r="19" spans="2:3" ht="19">
      <c r="B19" s="48" t="s">
        <v>100</v>
      </c>
      <c r="C19" s="49" t="s">
        <v>86</v>
      </c>
    </row>
    <row r="20" spans="2:3" ht="19">
      <c r="B20" s="48" t="s">
        <v>87</v>
      </c>
      <c r="C20" s="49" t="s">
        <v>88</v>
      </c>
    </row>
    <row r="21" spans="2:3" ht="19">
      <c r="B21" s="48" t="s">
        <v>59</v>
      </c>
      <c r="C21" s="49" t="s">
        <v>96</v>
      </c>
    </row>
    <row r="22" spans="2:3" ht="19">
      <c r="B22" s="48" t="s">
        <v>90</v>
      </c>
      <c r="C22" s="49" t="s">
        <v>89</v>
      </c>
    </row>
    <row r="23" spans="2:3" ht="19">
      <c r="B23" s="48" t="s">
        <v>92</v>
      </c>
      <c r="C23" s="49" t="s">
        <v>91</v>
      </c>
    </row>
    <row r="24" spans="2:3" ht="19">
      <c r="B24" s="48" t="s">
        <v>94</v>
      </c>
      <c r="C24" s="49" t="s">
        <v>93</v>
      </c>
    </row>
    <row r="25" spans="2:3" ht="19">
      <c r="B25" s="50" t="s">
        <v>97</v>
      </c>
      <c r="C25" s="51" t="s">
        <v>95</v>
      </c>
    </row>
  </sheetData>
  <hyperlinks>
    <hyperlink ref="C16" r:id="rId1" display="https://meric.mo.gov/data/cost-living-data-series" xr:uid="{D2EBDB83-FDD4-ED46-B521-0C2C4BA947EB}"/>
    <hyperlink ref="C17" r:id="rId2" display="https://www.forbes.com/advisor/mortgages/average-rent-by-state/" xr:uid="{CB8C8673-28BB-9641-A795-A3F751949A71}"/>
    <hyperlink ref="C18" r:id="rId3" display="https://worldpopulationreview.com/state-rankings/grocery-prices-by-state" xr:uid="{80982F1D-0AFA-C64E-9A29-677CF7B1F7C8}"/>
    <hyperlink ref="C19" r:id="rId4" xr:uid="{8B9E2C17-FFB2-BF47-BAE2-2C29F47AC6CF}"/>
    <hyperlink ref="C20" r:id="rId5" display="https://www.justice.gov/ust/eo/bapcpa/20230401/bci_data/median_income_table.htm" xr:uid="{28BE0962-7864-5341-8C5F-B63C9F553DCE}"/>
    <hyperlink ref="C21" r:id="rId6" display="Unempoyment Rates for States" xr:uid="{15BD9A50-15F0-2E46-91E1-1C437B05377E}"/>
    <hyperlink ref="C22" r:id="rId7" display="https://worldpopulationreview.com/state-rankings/public-school-rankings-by-state" xr:uid="{03C2FD68-FD60-004F-AC0B-9448DA4AFB10}"/>
    <hyperlink ref="C23" r:id="rId8" display="https://www.statista.com/statistics/200445/reported-violent-crime-rate-in-the-us-states/" xr:uid="{4A2E22CF-9EE5-F843-BA38-5F5F79B7AE1B}"/>
    <hyperlink ref="C24" r:id="rId9" display="https://worldpopulationreview.com/state-rankings/best-weather-by-state" xr:uid="{458CA5AF-A5E2-F24C-A3FF-688E1D326E1C}"/>
    <hyperlink ref="C25" r:id="rId10" xr:uid="{3BB6E204-7C64-F04D-9021-EECC018B711B}"/>
  </hyperlinks>
  <pageMargins left="0.7" right="0.7" top="0.75" bottom="0.75" header="0.3" footer="0.3"/>
  <pageSetup orientation="portrait" horizontalDpi="0" verticalDpi="0"/>
  <drawing r:id="rId11"/>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C4BB-1BA2-6C4D-893C-D56E4B351CE1}">
  <sheetPr codeName="Sheet2">
    <tabColor theme="9" tint="0.59999389629810485"/>
  </sheetPr>
  <dimension ref="A1:G55"/>
  <sheetViews>
    <sheetView workbookViewId="0">
      <selection activeCell="D5" sqref="D5"/>
    </sheetView>
  </sheetViews>
  <sheetFormatPr baseColWidth="10" defaultColWidth="11" defaultRowHeight="16"/>
  <cols>
    <col min="1" max="7" width="25.83203125" style="43" customWidth="1"/>
    <col min="8" max="8" width="30.6640625" style="43" customWidth="1"/>
    <col min="9" max="9" width="15.6640625" style="43" customWidth="1"/>
    <col min="10" max="27" width="11.83203125" style="43" customWidth="1"/>
    <col min="28" max="16384" width="11" style="43"/>
  </cols>
  <sheetData>
    <row r="1" spans="1:7" ht="32">
      <c r="A1" s="104" t="s">
        <v>130</v>
      </c>
      <c r="B1" s="104"/>
      <c r="C1" s="104"/>
      <c r="D1" s="25"/>
      <c r="E1" s="25"/>
      <c r="F1" s="25"/>
      <c r="G1" s="25"/>
    </row>
    <row r="2" spans="1:7">
      <c r="A2" s="104"/>
      <c r="B2" s="104"/>
      <c r="C2" s="104"/>
      <c r="D2"/>
      <c r="E2"/>
      <c r="F2"/>
      <c r="G2"/>
    </row>
    <row r="3" spans="1:7" ht="19.5" customHeight="1"/>
    <row r="4" spans="1:7" ht="19">
      <c r="D4" s="54" t="s">
        <v>0</v>
      </c>
      <c r="E4" s="55" t="s">
        <v>63</v>
      </c>
      <c r="F4" s="56" t="s">
        <v>64</v>
      </c>
      <c r="G4" s="57" t="s">
        <v>65</v>
      </c>
    </row>
    <row r="5" spans="1:7">
      <c r="D5" s="61" t="s">
        <v>44</v>
      </c>
      <c r="E5" s="62">
        <v>2</v>
      </c>
      <c r="F5" s="97">
        <v>16</v>
      </c>
      <c r="G5" s="88">
        <v>1</v>
      </c>
    </row>
    <row r="6" spans="1:7">
      <c r="D6" s="61" t="s">
        <v>52</v>
      </c>
      <c r="E6" s="97">
        <v>13</v>
      </c>
      <c r="F6" s="97">
        <v>22</v>
      </c>
      <c r="G6" s="88">
        <v>2</v>
      </c>
    </row>
    <row r="7" spans="1:7">
      <c r="D7" s="61" t="s">
        <v>46</v>
      </c>
      <c r="E7" s="62">
        <v>3</v>
      </c>
      <c r="F7" s="97">
        <v>7</v>
      </c>
      <c r="G7" s="88">
        <v>3</v>
      </c>
    </row>
    <row r="8" spans="1:7">
      <c r="D8" s="61" t="s">
        <v>48</v>
      </c>
      <c r="E8" s="97">
        <v>8</v>
      </c>
      <c r="F8" s="62">
        <v>5</v>
      </c>
      <c r="G8" s="88">
        <v>4</v>
      </c>
    </row>
    <row r="9" spans="1:7">
      <c r="D9" s="61" t="s">
        <v>45</v>
      </c>
      <c r="E9" s="62">
        <v>4</v>
      </c>
      <c r="F9" s="62">
        <v>2</v>
      </c>
      <c r="G9" s="88">
        <v>5</v>
      </c>
    </row>
    <row r="10" spans="1:7">
      <c r="D10" s="61" t="s">
        <v>54</v>
      </c>
      <c r="E10" s="62">
        <v>1</v>
      </c>
      <c r="F10" s="97">
        <v>13</v>
      </c>
      <c r="G10" s="98">
        <v>6</v>
      </c>
    </row>
    <row r="11" spans="1:7">
      <c r="D11" s="96" t="s">
        <v>43</v>
      </c>
      <c r="E11" s="97">
        <v>18</v>
      </c>
      <c r="F11" s="97">
        <v>46</v>
      </c>
      <c r="G11" s="98">
        <v>7</v>
      </c>
    </row>
    <row r="12" spans="1:7">
      <c r="D12" s="96" t="s">
        <v>32</v>
      </c>
      <c r="E12" s="97">
        <v>12</v>
      </c>
      <c r="F12" s="97">
        <v>15</v>
      </c>
      <c r="G12" s="98">
        <v>8</v>
      </c>
    </row>
    <row r="13" spans="1:7">
      <c r="D13" s="96" t="s">
        <v>36</v>
      </c>
      <c r="E13" s="97">
        <v>16</v>
      </c>
      <c r="F13" s="97">
        <v>8</v>
      </c>
      <c r="G13" s="98">
        <v>9</v>
      </c>
    </row>
    <row r="14" spans="1:7">
      <c r="D14" s="61" t="s">
        <v>50</v>
      </c>
      <c r="E14" s="62">
        <v>5</v>
      </c>
      <c r="F14" s="97">
        <v>29</v>
      </c>
      <c r="G14" s="98">
        <v>10</v>
      </c>
    </row>
    <row r="15" spans="1:7">
      <c r="D15" s="61" t="s">
        <v>42</v>
      </c>
      <c r="E15" s="97">
        <v>6</v>
      </c>
      <c r="F15" s="62">
        <v>3</v>
      </c>
      <c r="G15" s="98">
        <v>11</v>
      </c>
    </row>
    <row r="16" spans="1:7">
      <c r="D16" s="61" t="s">
        <v>28</v>
      </c>
      <c r="E16" s="97">
        <v>39</v>
      </c>
      <c r="F16" s="62">
        <v>4</v>
      </c>
      <c r="G16" s="98">
        <v>12</v>
      </c>
    </row>
    <row r="17" spans="4:7">
      <c r="D17" s="96" t="s">
        <v>37</v>
      </c>
      <c r="E17" s="97">
        <v>7</v>
      </c>
      <c r="F17" s="97">
        <v>12</v>
      </c>
      <c r="G17" s="98">
        <v>13</v>
      </c>
    </row>
    <row r="18" spans="4:7">
      <c r="D18" s="96" t="s">
        <v>21</v>
      </c>
      <c r="E18" s="97">
        <v>11</v>
      </c>
      <c r="F18" s="97">
        <v>41</v>
      </c>
      <c r="G18" s="98">
        <v>14</v>
      </c>
    </row>
    <row r="19" spans="4:7">
      <c r="D19" s="96" t="s">
        <v>23</v>
      </c>
      <c r="E19" s="97">
        <v>24</v>
      </c>
      <c r="F19" s="97">
        <v>14</v>
      </c>
      <c r="G19" s="98">
        <v>15</v>
      </c>
    </row>
    <row r="20" spans="4:7">
      <c r="D20" s="96" t="s">
        <v>17</v>
      </c>
      <c r="E20" s="97">
        <v>33</v>
      </c>
      <c r="F20" s="97">
        <v>17</v>
      </c>
      <c r="G20" s="98">
        <v>16</v>
      </c>
    </row>
    <row r="21" spans="4:7">
      <c r="D21" s="96" t="s">
        <v>29</v>
      </c>
      <c r="E21" s="97">
        <v>25</v>
      </c>
      <c r="F21" s="97">
        <v>18</v>
      </c>
      <c r="G21" s="98">
        <v>17</v>
      </c>
    </row>
    <row r="22" spans="4:7">
      <c r="D22" s="96" t="s">
        <v>14</v>
      </c>
      <c r="E22" s="97">
        <v>17</v>
      </c>
      <c r="F22" s="97">
        <v>23</v>
      </c>
      <c r="G22" s="98">
        <v>18</v>
      </c>
    </row>
    <row r="23" spans="4:7">
      <c r="D23" s="96" t="s">
        <v>19</v>
      </c>
      <c r="E23" s="97">
        <v>20</v>
      </c>
      <c r="F23" s="97">
        <v>37</v>
      </c>
      <c r="G23" s="98">
        <v>19</v>
      </c>
    </row>
    <row r="24" spans="4:7">
      <c r="D24" s="96" t="s">
        <v>11</v>
      </c>
      <c r="E24" s="97">
        <v>32</v>
      </c>
      <c r="F24" s="97">
        <v>35</v>
      </c>
      <c r="G24" s="98">
        <v>20</v>
      </c>
    </row>
    <row r="25" spans="4:7">
      <c r="D25" s="61" t="s">
        <v>40</v>
      </c>
      <c r="E25" s="97">
        <v>10</v>
      </c>
      <c r="F25" s="62">
        <v>1</v>
      </c>
      <c r="G25" s="98">
        <v>21</v>
      </c>
    </row>
    <row r="26" spans="4:7">
      <c r="D26" s="96" t="s">
        <v>26</v>
      </c>
      <c r="E26" s="97">
        <v>15</v>
      </c>
      <c r="F26" s="97">
        <v>19</v>
      </c>
      <c r="G26" s="98">
        <v>22</v>
      </c>
    </row>
    <row r="27" spans="4:7">
      <c r="D27" s="96" t="s">
        <v>49</v>
      </c>
      <c r="E27" s="97">
        <v>9</v>
      </c>
      <c r="F27" s="97">
        <v>26</v>
      </c>
      <c r="G27" s="98">
        <v>23</v>
      </c>
    </row>
    <row r="28" spans="4:7">
      <c r="D28" s="96" t="s">
        <v>12</v>
      </c>
      <c r="E28" s="97">
        <v>34</v>
      </c>
      <c r="F28" s="97">
        <v>40</v>
      </c>
      <c r="G28" s="98">
        <v>24</v>
      </c>
    </row>
    <row r="29" spans="4:7">
      <c r="D29" s="96" t="s">
        <v>16</v>
      </c>
      <c r="E29" s="97">
        <v>38</v>
      </c>
      <c r="F29" s="97">
        <v>34</v>
      </c>
      <c r="G29" s="98">
        <v>25</v>
      </c>
    </row>
    <row r="30" spans="4:7">
      <c r="D30" s="96" t="s">
        <v>20</v>
      </c>
      <c r="E30" s="97">
        <v>36</v>
      </c>
      <c r="F30" s="97">
        <v>30</v>
      </c>
      <c r="G30" s="98">
        <v>26</v>
      </c>
    </row>
    <row r="31" spans="4:7">
      <c r="D31" s="96" t="s">
        <v>22</v>
      </c>
      <c r="E31" s="97">
        <v>22</v>
      </c>
      <c r="F31" s="97">
        <v>6</v>
      </c>
      <c r="G31" s="98">
        <v>27</v>
      </c>
    </row>
    <row r="32" spans="4:7">
      <c r="D32" s="96" t="s">
        <v>30</v>
      </c>
      <c r="E32" s="97">
        <v>40</v>
      </c>
      <c r="F32" s="97">
        <v>47</v>
      </c>
      <c r="G32" s="98">
        <v>28</v>
      </c>
    </row>
    <row r="33" spans="4:7">
      <c r="D33" s="96" t="s">
        <v>9</v>
      </c>
      <c r="E33" s="97">
        <v>37</v>
      </c>
      <c r="F33" s="97">
        <v>32</v>
      </c>
      <c r="G33" s="98">
        <v>29</v>
      </c>
    </row>
    <row r="34" spans="4:7">
      <c r="D34" s="96" t="s">
        <v>8</v>
      </c>
      <c r="E34" s="97">
        <v>27</v>
      </c>
      <c r="F34" s="97">
        <v>31</v>
      </c>
      <c r="G34" s="98">
        <v>30</v>
      </c>
    </row>
    <row r="35" spans="4:7">
      <c r="D35" s="96" t="s">
        <v>27</v>
      </c>
      <c r="E35" s="97">
        <v>29</v>
      </c>
      <c r="F35" s="97">
        <v>11</v>
      </c>
      <c r="G35" s="98">
        <v>31</v>
      </c>
    </row>
    <row r="36" spans="4:7">
      <c r="D36" s="96" t="s">
        <v>38</v>
      </c>
      <c r="E36" s="97">
        <v>28</v>
      </c>
      <c r="F36" s="97">
        <v>28</v>
      </c>
      <c r="G36" s="98">
        <v>32</v>
      </c>
    </row>
    <row r="37" spans="4:7">
      <c r="D37" s="96" t="s">
        <v>13</v>
      </c>
      <c r="E37" s="97">
        <v>43</v>
      </c>
      <c r="F37" s="97">
        <v>38</v>
      </c>
      <c r="G37" s="98">
        <v>33</v>
      </c>
    </row>
    <row r="38" spans="4:7">
      <c r="D38" s="96" t="s">
        <v>56</v>
      </c>
      <c r="E38" s="97">
        <v>31</v>
      </c>
      <c r="F38" s="97">
        <v>42</v>
      </c>
      <c r="G38" s="98">
        <v>34</v>
      </c>
    </row>
    <row r="39" spans="4:7">
      <c r="D39" s="96" t="s">
        <v>47</v>
      </c>
      <c r="E39" s="97">
        <v>21</v>
      </c>
      <c r="F39" s="97">
        <v>24</v>
      </c>
      <c r="G39" s="98">
        <v>35</v>
      </c>
    </row>
    <row r="40" spans="4:7">
      <c r="D40" s="96" t="s">
        <v>53</v>
      </c>
      <c r="E40" s="97">
        <v>14</v>
      </c>
      <c r="F40" s="97">
        <v>49</v>
      </c>
      <c r="G40" s="98">
        <v>36</v>
      </c>
    </row>
    <row r="41" spans="4:7">
      <c r="D41" s="96" t="s">
        <v>15</v>
      </c>
      <c r="E41" s="97">
        <v>19</v>
      </c>
      <c r="F41" s="97">
        <v>39</v>
      </c>
      <c r="G41" s="98">
        <v>37</v>
      </c>
    </row>
    <row r="42" spans="4:7">
      <c r="D42" s="96" t="s">
        <v>24</v>
      </c>
      <c r="E42" s="97">
        <v>46</v>
      </c>
      <c r="F42" s="97">
        <v>25</v>
      </c>
      <c r="G42" s="98">
        <v>38</v>
      </c>
    </row>
    <row r="43" spans="4:7">
      <c r="D43" s="96" t="s">
        <v>51</v>
      </c>
      <c r="E43" s="97">
        <v>30</v>
      </c>
      <c r="F43" s="97">
        <v>36</v>
      </c>
      <c r="G43" s="98">
        <v>39</v>
      </c>
    </row>
    <row r="44" spans="4:7">
      <c r="D44" s="96" t="s">
        <v>31</v>
      </c>
      <c r="E44" s="97">
        <v>35</v>
      </c>
      <c r="F44" s="97">
        <v>43</v>
      </c>
      <c r="G44" s="98">
        <v>40</v>
      </c>
    </row>
    <row r="45" spans="4:7">
      <c r="D45" s="96" t="s">
        <v>7</v>
      </c>
      <c r="E45" s="97">
        <v>50</v>
      </c>
      <c r="F45" s="97">
        <v>9</v>
      </c>
      <c r="G45" s="98">
        <v>41</v>
      </c>
    </row>
    <row r="46" spans="4:7">
      <c r="D46" s="96" t="s">
        <v>25</v>
      </c>
      <c r="E46" s="97">
        <v>41</v>
      </c>
      <c r="F46" s="97">
        <v>44</v>
      </c>
      <c r="G46" s="98">
        <v>42</v>
      </c>
    </row>
    <row r="47" spans="4:7">
      <c r="D47" s="96" t="s">
        <v>34</v>
      </c>
      <c r="E47" s="97">
        <v>42</v>
      </c>
      <c r="F47" s="97">
        <v>27</v>
      </c>
      <c r="G47" s="98">
        <v>43</v>
      </c>
    </row>
    <row r="48" spans="4:7">
      <c r="D48" s="96" t="s">
        <v>10</v>
      </c>
      <c r="E48" s="97">
        <v>47</v>
      </c>
      <c r="F48" s="97">
        <v>33</v>
      </c>
      <c r="G48" s="98">
        <v>44</v>
      </c>
    </row>
    <row r="49" spans="4:7">
      <c r="D49" s="96" t="s">
        <v>33</v>
      </c>
      <c r="E49" s="97">
        <v>26</v>
      </c>
      <c r="F49" s="97">
        <v>20</v>
      </c>
      <c r="G49" s="98">
        <v>45</v>
      </c>
    </row>
    <row r="50" spans="4:7">
      <c r="D50" s="96" t="s">
        <v>35</v>
      </c>
      <c r="E50" s="97">
        <v>45</v>
      </c>
      <c r="F50" s="97">
        <v>50</v>
      </c>
      <c r="G50" s="98">
        <v>46</v>
      </c>
    </row>
    <row r="51" spans="4:7">
      <c r="D51" s="96" t="s">
        <v>6</v>
      </c>
      <c r="E51" s="97">
        <v>48</v>
      </c>
      <c r="F51" s="97">
        <v>10</v>
      </c>
      <c r="G51" s="98">
        <v>47</v>
      </c>
    </row>
    <row r="52" spans="4:7">
      <c r="D52" s="96" t="s">
        <v>39</v>
      </c>
      <c r="E52" s="97">
        <v>23</v>
      </c>
      <c r="F52" s="97">
        <v>21</v>
      </c>
      <c r="G52" s="98">
        <v>48</v>
      </c>
    </row>
    <row r="53" spans="4:7">
      <c r="D53" s="96" t="s">
        <v>18</v>
      </c>
      <c r="E53" s="97">
        <v>49</v>
      </c>
      <c r="F53" s="97">
        <v>48</v>
      </c>
      <c r="G53" s="98">
        <v>49</v>
      </c>
    </row>
    <row r="54" spans="4:7">
      <c r="D54" s="96" t="s">
        <v>41</v>
      </c>
      <c r="E54" s="97">
        <v>44</v>
      </c>
      <c r="F54" s="97">
        <v>45</v>
      </c>
      <c r="G54" s="98">
        <v>50</v>
      </c>
    </row>
    <row r="55" spans="4:7">
      <c r="D55" s="99" t="s">
        <v>55</v>
      </c>
      <c r="E55" s="100"/>
      <c r="F55" s="100"/>
      <c r="G55" s="101"/>
    </row>
  </sheetData>
  <mergeCells count="1">
    <mergeCell ref="A1:C2"/>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3325" r:id="rId3" name="Button 13">
              <controlPr defaultSize="0" print="0" autoFill="0" autoPict="0" macro="[0]!Top5StudentSuccess">
                <anchor moveWithCells="1" sizeWithCells="1">
                  <from>
                    <xdr:col>4</xdr:col>
                    <xdr:colOff>0</xdr:colOff>
                    <xdr:row>0</xdr:row>
                    <xdr:rowOff>0</xdr:rowOff>
                  </from>
                  <to>
                    <xdr:col>5</xdr:col>
                    <xdr:colOff>0</xdr:colOff>
                    <xdr:row>2</xdr:row>
                    <xdr:rowOff>0</xdr:rowOff>
                  </to>
                </anchor>
              </controlPr>
            </control>
          </mc:Choice>
        </mc:AlternateContent>
        <mc:AlternateContent xmlns:mc="http://schemas.openxmlformats.org/markup-compatibility/2006">
          <mc:Choice Requires="x14">
            <control shapeId="13328" r:id="rId4" name="Button 16">
              <controlPr defaultSize="0" print="0" autoFill="0" autoPict="0" macro="[0]!Top5StudentSafety">
                <anchor moveWithCells="1" sizeWithCells="1">
                  <from>
                    <xdr:col>5</xdr:col>
                    <xdr:colOff>0</xdr:colOff>
                    <xdr:row>0</xdr:row>
                    <xdr:rowOff>0</xdr:rowOff>
                  </from>
                  <to>
                    <xdr:col>6</xdr:col>
                    <xdr:colOff>0</xdr:colOff>
                    <xdr:row>2</xdr:row>
                    <xdr:rowOff>0</xdr:rowOff>
                  </to>
                </anchor>
              </controlPr>
            </control>
          </mc:Choice>
        </mc:AlternateContent>
        <mc:AlternateContent xmlns:mc="http://schemas.openxmlformats.org/markup-compatibility/2006">
          <mc:Choice Requires="x14">
            <control shapeId="13329" r:id="rId5" name="Button 17">
              <controlPr defaultSize="0" print="0" autoFill="0" autoPict="0" macro="[0]!Reset_Table1">
                <anchor moveWithCells="1" sizeWithCells="1">
                  <from>
                    <xdr:col>3</xdr:col>
                    <xdr:colOff>0</xdr:colOff>
                    <xdr:row>0</xdr:row>
                    <xdr:rowOff>0</xdr:rowOff>
                  </from>
                  <to>
                    <xdr:col>4</xdr:col>
                    <xdr:colOff>0</xdr:colOff>
                    <xdr:row>1</xdr:row>
                    <xdr:rowOff>203200</xdr:rowOff>
                  </to>
                </anchor>
              </controlPr>
            </control>
          </mc:Choice>
        </mc:AlternateContent>
        <mc:AlternateContent xmlns:mc="http://schemas.openxmlformats.org/markup-compatibility/2006">
          <mc:Choice Requires="x14">
            <control shapeId="13330" r:id="rId6" name="Button 18">
              <controlPr defaultSize="0" print="0" autoFill="0" autoPict="0" macro="[0]!Top5SchoolQuality">
                <anchor moveWithCells="1" sizeWithCells="1">
                  <from>
                    <xdr:col>6</xdr:col>
                    <xdr:colOff>0</xdr:colOff>
                    <xdr:row>0</xdr:row>
                    <xdr:rowOff>0</xdr:rowOff>
                  </from>
                  <to>
                    <xdr:col>7</xdr:col>
                    <xdr:colOff>0</xdr:colOff>
                    <xdr:row>2</xdr:row>
                    <xdr:rowOff>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2B94C-81E0-7A42-84B5-611299FE4690}">
  <sheetPr codeName="Sheet5">
    <tabColor theme="9" tint="0.59999389629810485"/>
  </sheetPr>
  <dimension ref="A1:K58"/>
  <sheetViews>
    <sheetView zoomScale="63" workbookViewId="0">
      <selection activeCell="J7" sqref="J7"/>
    </sheetView>
  </sheetViews>
  <sheetFormatPr baseColWidth="10" defaultColWidth="11" defaultRowHeight="16"/>
  <cols>
    <col min="1" max="1" width="6.83203125" style="43" bestFit="1" customWidth="1"/>
    <col min="2" max="10" width="40.6640625" style="43" customWidth="1"/>
    <col min="11" max="11" width="22.6640625" style="43" bestFit="1" customWidth="1"/>
    <col min="12" max="16384" width="11" style="43"/>
  </cols>
  <sheetData>
    <row r="1" spans="1:11" ht="47">
      <c r="B1" s="105" t="s">
        <v>128</v>
      </c>
      <c r="C1" s="105"/>
      <c r="D1" s="105"/>
      <c r="E1" s="47"/>
      <c r="F1" s="47"/>
      <c r="G1" s="47"/>
      <c r="H1" s="47"/>
      <c r="I1" s="47"/>
      <c r="J1" s="47"/>
      <c r="K1" s="47"/>
    </row>
    <row r="2" spans="1:11" ht="27">
      <c r="A2" s="46"/>
      <c r="B2" s="46"/>
      <c r="C2" s="46"/>
      <c r="D2" s="46"/>
      <c r="E2" s="46"/>
      <c r="F2" s="46"/>
      <c r="G2" s="46"/>
      <c r="H2" s="46"/>
      <c r="I2" s="46"/>
      <c r="J2" s="46"/>
      <c r="K2" s="46"/>
    </row>
    <row r="7" spans="1:11" ht="22">
      <c r="B7" s="27" t="s">
        <v>0</v>
      </c>
      <c r="C7" s="28" t="s">
        <v>68</v>
      </c>
      <c r="D7" s="28" t="s">
        <v>69</v>
      </c>
      <c r="E7" s="28" t="s">
        <v>67</v>
      </c>
      <c r="F7" s="28" t="s">
        <v>131</v>
      </c>
      <c r="G7" s="28" t="s">
        <v>66</v>
      </c>
      <c r="H7" s="28" t="s">
        <v>115</v>
      </c>
      <c r="I7" s="29" t="s">
        <v>116</v>
      </c>
      <c r="J7" s="30" t="s">
        <v>114</v>
      </c>
    </row>
    <row r="8" spans="1:11" ht="19">
      <c r="B8" s="52" t="s">
        <v>23</v>
      </c>
      <c r="C8" s="31">
        <v>42</v>
      </c>
      <c r="D8" s="31">
        <v>5.6</v>
      </c>
      <c r="E8" s="83">
        <v>4471</v>
      </c>
      <c r="F8" s="31">
        <v>12.97</v>
      </c>
      <c r="G8" s="31">
        <v>51</v>
      </c>
      <c r="H8" s="31">
        <v>10</v>
      </c>
      <c r="I8" s="81">
        <v>201.9</v>
      </c>
      <c r="J8" s="79">
        <v>584057</v>
      </c>
    </row>
    <row r="9" spans="1:11" ht="19">
      <c r="B9" s="52" t="s">
        <v>48</v>
      </c>
      <c r="C9" s="31">
        <v>42.9</v>
      </c>
      <c r="D9" s="31">
        <v>6.1</v>
      </c>
      <c r="E9" s="83">
        <v>3826</v>
      </c>
      <c r="F9" s="31">
        <v>42.82</v>
      </c>
      <c r="G9" s="31">
        <v>89.25</v>
      </c>
      <c r="H9" s="31">
        <v>3</v>
      </c>
      <c r="I9" s="81">
        <v>221.9</v>
      </c>
      <c r="J9" s="79">
        <v>647464</v>
      </c>
    </row>
    <row r="10" spans="1:11" ht="19">
      <c r="B10" s="52" t="s">
        <v>55</v>
      </c>
      <c r="C10" s="31"/>
      <c r="D10" s="31"/>
      <c r="E10" s="32"/>
      <c r="F10" s="103"/>
      <c r="G10" s="103"/>
      <c r="H10" s="31"/>
      <c r="I10" s="81">
        <v>812.3</v>
      </c>
      <c r="J10" s="79">
        <v>678972</v>
      </c>
    </row>
    <row r="11" spans="1:11" ht="19">
      <c r="B11" s="52" t="s">
        <v>51</v>
      </c>
      <c r="C11" s="31">
        <v>26.6</v>
      </c>
      <c r="D11" s="31">
        <v>-3</v>
      </c>
      <c r="E11" s="32"/>
      <c r="F11" s="31">
        <v>22.7</v>
      </c>
      <c r="G11" s="31">
        <v>64.459999999999994</v>
      </c>
      <c r="H11" s="31">
        <v>3</v>
      </c>
      <c r="I11" s="81">
        <v>758.9</v>
      </c>
      <c r="J11" s="79">
        <v>733406</v>
      </c>
    </row>
    <row r="12" spans="1:11" ht="19">
      <c r="B12" s="52" t="s">
        <v>27</v>
      </c>
      <c r="C12" s="31">
        <v>40.4</v>
      </c>
      <c r="D12" s="31">
        <v>4.7</v>
      </c>
      <c r="E12" s="83">
        <v>3925</v>
      </c>
      <c r="F12" s="31">
        <v>17.82</v>
      </c>
      <c r="G12" s="31">
        <v>37</v>
      </c>
      <c r="H12" s="31">
        <v>5</v>
      </c>
      <c r="I12" s="81">
        <v>279.60000000000002</v>
      </c>
      <c r="J12" s="79">
        <v>783926</v>
      </c>
    </row>
    <row r="13" spans="1:11" ht="19">
      <c r="B13" s="52" t="s">
        <v>22</v>
      </c>
      <c r="C13" s="31">
        <v>45.2</v>
      </c>
      <c r="D13" s="31">
        <v>7.3</v>
      </c>
      <c r="E13" s="83">
        <v>4332</v>
      </c>
      <c r="F13" s="31">
        <v>20.14</v>
      </c>
      <c r="G13" s="31">
        <v>37.43</v>
      </c>
      <c r="H13" s="31">
        <v>8</v>
      </c>
      <c r="I13" s="81">
        <v>377.4</v>
      </c>
      <c r="J13" s="79">
        <v>919318</v>
      </c>
    </row>
    <row r="14" spans="1:11" s="93" customFormat="1" ht="19">
      <c r="B14" s="52" t="s">
        <v>36</v>
      </c>
      <c r="C14" s="31">
        <v>55.3</v>
      </c>
      <c r="D14" s="31">
        <v>12.9</v>
      </c>
      <c r="E14" s="83">
        <v>4232</v>
      </c>
      <c r="F14" s="31">
        <v>45.68</v>
      </c>
      <c r="G14" s="31">
        <v>16.940000000000001</v>
      </c>
      <c r="H14" s="31">
        <v>7</v>
      </c>
      <c r="I14" s="81">
        <v>383.5</v>
      </c>
      <c r="J14" s="79">
        <v>1031890</v>
      </c>
    </row>
    <row r="15" spans="1:11" ht="19">
      <c r="B15" s="52" t="s">
        <v>43</v>
      </c>
      <c r="C15" s="31">
        <v>50.1</v>
      </c>
      <c r="D15" s="31">
        <v>10.1</v>
      </c>
      <c r="E15" s="83">
        <v>3989</v>
      </c>
      <c r="F15" s="31">
        <v>47.98</v>
      </c>
      <c r="G15" s="31">
        <v>38.85</v>
      </c>
      <c r="H15" s="31">
        <v>5</v>
      </c>
      <c r="I15" s="81">
        <v>172.3</v>
      </c>
      <c r="J15" s="79">
        <v>1095962</v>
      </c>
    </row>
    <row r="16" spans="1:11" ht="19">
      <c r="B16" s="52" t="s">
        <v>38</v>
      </c>
      <c r="C16" s="31">
        <v>42.7</v>
      </c>
      <c r="D16" s="31">
        <v>5.9</v>
      </c>
      <c r="E16" s="83">
        <v>3847</v>
      </c>
      <c r="F16" s="31">
        <v>15.37</v>
      </c>
      <c r="G16" s="31">
        <v>37.28</v>
      </c>
      <c r="H16" s="31">
        <v>11</v>
      </c>
      <c r="I16" s="81">
        <v>417.9</v>
      </c>
      <c r="J16" s="79">
        <v>1132812</v>
      </c>
    </row>
    <row r="17" spans="2:10" ht="19">
      <c r="B17" s="52" t="s">
        <v>42</v>
      </c>
      <c r="C17" s="31">
        <v>41</v>
      </c>
      <c r="D17" s="31">
        <v>5</v>
      </c>
      <c r="E17" s="83">
        <v>3815</v>
      </c>
      <c r="F17" s="31">
        <v>42.28</v>
      </c>
      <c r="G17" s="31">
        <v>77.28</v>
      </c>
      <c r="H17" s="31">
        <v>2</v>
      </c>
      <c r="I17" s="81">
        <v>103.3</v>
      </c>
      <c r="J17" s="79">
        <v>1395722</v>
      </c>
    </row>
    <row r="18" spans="2:10" ht="19">
      <c r="B18" s="52" t="s">
        <v>46</v>
      </c>
      <c r="C18" s="31">
        <v>43.8</v>
      </c>
      <c r="D18" s="31">
        <v>6.6</v>
      </c>
      <c r="E18" s="83">
        <v>3891</v>
      </c>
      <c r="F18" s="31">
        <v>43.42</v>
      </c>
      <c r="G18" s="31">
        <v>71.44</v>
      </c>
      <c r="H18" s="31">
        <v>4</v>
      </c>
      <c r="I18" s="81">
        <v>125.6</v>
      </c>
      <c r="J18" s="79">
        <v>1402054</v>
      </c>
    </row>
    <row r="19" spans="2:10" ht="19">
      <c r="B19" s="52" t="s">
        <v>56</v>
      </c>
      <c r="C19" s="31">
        <v>70</v>
      </c>
      <c r="D19" s="31">
        <v>21.1</v>
      </c>
      <c r="E19" s="78"/>
      <c r="F19" s="31">
        <v>63.7</v>
      </c>
      <c r="G19" s="31">
        <v>0</v>
      </c>
      <c r="H19" s="31">
        <v>0</v>
      </c>
      <c r="I19" s="81">
        <v>259.60000000000002</v>
      </c>
      <c r="J19" s="79">
        <v>1435138</v>
      </c>
    </row>
    <row r="20" spans="2:10" ht="19">
      <c r="B20" s="52" t="s">
        <v>9</v>
      </c>
      <c r="C20" s="31">
        <v>51.8</v>
      </c>
      <c r="D20" s="31">
        <v>11</v>
      </c>
      <c r="E20" s="83">
        <v>4146</v>
      </c>
      <c r="F20" s="31">
        <v>45.3</v>
      </c>
      <c r="G20" s="31">
        <v>25.13</v>
      </c>
      <c r="H20" s="31">
        <v>7</v>
      </c>
      <c r="I20" s="81">
        <v>277.89999999999998</v>
      </c>
      <c r="J20" s="79">
        <v>1770071</v>
      </c>
    </row>
    <row r="21" spans="2:10" ht="19">
      <c r="B21" s="52" t="s">
        <v>33</v>
      </c>
      <c r="C21" s="31">
        <v>44.4</v>
      </c>
      <c r="D21" s="31">
        <v>6.9</v>
      </c>
      <c r="E21" s="83">
        <v>4251</v>
      </c>
      <c r="F21" s="31">
        <v>18.96</v>
      </c>
      <c r="G21" s="31">
        <v>36.49</v>
      </c>
      <c r="H21" s="31">
        <v>13</v>
      </c>
      <c r="I21" s="81">
        <v>241.4</v>
      </c>
      <c r="J21" s="79">
        <v>1964726</v>
      </c>
    </row>
    <row r="22" spans="2:10" s="93" customFormat="1" ht="19">
      <c r="B22" s="52" t="s">
        <v>17</v>
      </c>
      <c r="C22" s="31">
        <v>48.8</v>
      </c>
      <c r="D22" s="31">
        <v>9.3000000000000007</v>
      </c>
      <c r="E22" s="83">
        <v>4685</v>
      </c>
      <c r="F22" s="31">
        <v>23.63</v>
      </c>
      <c r="G22" s="31">
        <v>28.12</v>
      </c>
      <c r="H22" s="31">
        <v>16</v>
      </c>
      <c r="I22" s="81">
        <v>282.8</v>
      </c>
      <c r="J22" s="79">
        <v>1978379</v>
      </c>
    </row>
    <row r="23" spans="2:10" ht="19">
      <c r="B23" s="52" t="s">
        <v>25</v>
      </c>
      <c r="C23" s="31">
        <v>53.4</v>
      </c>
      <c r="D23" s="31">
        <v>11.9</v>
      </c>
      <c r="E23" s="83">
        <v>5642</v>
      </c>
      <c r="F23" s="31">
        <v>14.63</v>
      </c>
      <c r="G23" s="31">
        <v>22.74</v>
      </c>
      <c r="H23" s="31">
        <v>13</v>
      </c>
      <c r="I23" s="81">
        <v>780.5</v>
      </c>
      <c r="J23" s="79">
        <v>2114371</v>
      </c>
    </row>
    <row r="24" spans="2:10" ht="19">
      <c r="B24" s="52" t="s">
        <v>7</v>
      </c>
      <c r="C24" s="31">
        <v>63.4</v>
      </c>
      <c r="D24" s="31">
        <v>17.399999999999999</v>
      </c>
      <c r="E24" s="83">
        <v>4693</v>
      </c>
      <c r="F24" s="31">
        <v>59.23</v>
      </c>
      <c r="G24" s="31">
        <v>0.71</v>
      </c>
      <c r="H24" s="31">
        <v>20</v>
      </c>
      <c r="I24" s="81">
        <v>245</v>
      </c>
      <c r="J24" s="79">
        <v>2939690</v>
      </c>
    </row>
    <row r="25" spans="2:10" ht="19">
      <c r="B25" s="52" t="s">
        <v>8</v>
      </c>
      <c r="C25" s="31">
        <v>54.3</v>
      </c>
      <c r="D25" s="31">
        <v>12.4</v>
      </c>
      <c r="E25" s="83">
        <v>4890</v>
      </c>
      <c r="F25" s="31">
        <v>28.92</v>
      </c>
      <c r="G25" s="31">
        <v>15.42</v>
      </c>
      <c r="H25" s="31">
        <v>33</v>
      </c>
      <c r="I25" s="81">
        <v>414.6</v>
      </c>
      <c r="J25" s="79">
        <v>2940546</v>
      </c>
    </row>
    <row r="26" spans="2:10" ht="19">
      <c r="B26" s="52" t="s">
        <v>12</v>
      </c>
      <c r="C26" s="31">
        <v>60.4</v>
      </c>
      <c r="D26" s="31">
        <v>15.8</v>
      </c>
      <c r="E26" s="83">
        <v>4724</v>
      </c>
      <c r="F26" s="31">
        <v>50.78</v>
      </c>
      <c r="G26" s="31">
        <v>4.04</v>
      </c>
      <c r="H26" s="31">
        <v>23</v>
      </c>
      <c r="I26" s="81">
        <v>645.29999999999995</v>
      </c>
      <c r="J26" s="79">
        <v>3067732</v>
      </c>
    </row>
    <row r="27" spans="2:10" ht="19">
      <c r="B27" s="52" t="s">
        <v>35</v>
      </c>
      <c r="C27" s="31">
        <v>49.9</v>
      </c>
      <c r="D27" s="31">
        <v>9.9</v>
      </c>
      <c r="E27" s="83">
        <v>5296</v>
      </c>
      <c r="F27" s="31">
        <v>9.5399999999999991</v>
      </c>
      <c r="G27" s="31">
        <v>18.829999999999998</v>
      </c>
      <c r="H27" s="31">
        <v>10</v>
      </c>
      <c r="I27" s="81">
        <v>454</v>
      </c>
      <c r="J27" s="79">
        <v>3194176</v>
      </c>
    </row>
    <row r="28" spans="2:10" ht="19">
      <c r="B28" s="52" t="s">
        <v>14</v>
      </c>
      <c r="C28" s="31">
        <v>47.8</v>
      </c>
      <c r="D28" s="31">
        <v>8.8000000000000007</v>
      </c>
      <c r="E28" s="83">
        <v>4331</v>
      </c>
      <c r="F28" s="31">
        <v>34.049999999999997</v>
      </c>
      <c r="G28" s="31">
        <v>31.27</v>
      </c>
      <c r="H28" s="31">
        <v>21</v>
      </c>
      <c r="I28" s="81">
        <v>286.5</v>
      </c>
      <c r="J28" s="79">
        <v>3207004</v>
      </c>
    </row>
    <row r="29" spans="2:10" ht="19">
      <c r="B29" s="52" t="s">
        <v>39</v>
      </c>
      <c r="C29" s="31">
        <v>48.6</v>
      </c>
      <c r="D29" s="31">
        <v>9.1999999999999993</v>
      </c>
      <c r="E29" s="83">
        <v>4887</v>
      </c>
      <c r="F29" s="31">
        <v>12.26</v>
      </c>
      <c r="G29" s="31">
        <v>40.99</v>
      </c>
      <c r="H29" s="31">
        <v>7</v>
      </c>
      <c r="I29" s="81">
        <v>241.8</v>
      </c>
      <c r="J29" s="79">
        <v>3417734</v>
      </c>
    </row>
    <row r="30" spans="2:10" ht="19">
      <c r="B30" s="94" t="s">
        <v>44</v>
      </c>
      <c r="C30" s="89">
        <v>49</v>
      </c>
      <c r="D30" s="89">
        <v>9.4</v>
      </c>
      <c r="E30" s="90">
        <v>3988</v>
      </c>
      <c r="F30" s="89">
        <v>50.39</v>
      </c>
      <c r="G30" s="89">
        <v>37.85</v>
      </c>
      <c r="H30" s="89">
        <v>9</v>
      </c>
      <c r="I30" s="91">
        <v>150</v>
      </c>
      <c r="J30" s="92">
        <v>3617176</v>
      </c>
    </row>
    <row r="31" spans="2:10" ht="19">
      <c r="B31" s="52" t="s">
        <v>6</v>
      </c>
      <c r="C31" s="31">
        <v>59.6</v>
      </c>
      <c r="D31" s="31">
        <v>15.3</v>
      </c>
      <c r="E31" s="83">
        <v>4912</v>
      </c>
      <c r="F31" s="31">
        <v>36.549999999999997</v>
      </c>
      <c r="G31" s="31">
        <v>5.88</v>
      </c>
      <c r="H31" s="31">
        <v>35</v>
      </c>
      <c r="I31" s="81">
        <v>419.7</v>
      </c>
      <c r="J31" s="79">
        <v>4053824</v>
      </c>
    </row>
    <row r="32" spans="2:10" ht="19">
      <c r="B32" s="52" t="s">
        <v>47</v>
      </c>
      <c r="C32" s="31">
        <v>48.4</v>
      </c>
      <c r="D32" s="31">
        <v>9.1</v>
      </c>
      <c r="E32" s="83">
        <v>3830</v>
      </c>
      <c r="F32" s="31">
        <v>27.55</v>
      </c>
      <c r="G32" s="31">
        <v>10.91</v>
      </c>
      <c r="H32" s="31">
        <v>12</v>
      </c>
      <c r="I32" s="81">
        <v>342.4</v>
      </c>
      <c r="J32" s="79">
        <v>4233358</v>
      </c>
    </row>
    <row r="33" spans="2:10" ht="19">
      <c r="B33" s="52" t="s">
        <v>20</v>
      </c>
      <c r="C33" s="31">
        <v>55.6</v>
      </c>
      <c r="D33" s="31">
        <v>13.1</v>
      </c>
      <c r="E33" s="83">
        <v>4383</v>
      </c>
      <c r="F33" s="31">
        <v>48.98</v>
      </c>
      <c r="G33" s="31">
        <v>8.83</v>
      </c>
      <c r="H33" s="31">
        <v>22</v>
      </c>
      <c r="I33" s="81">
        <v>214.1</v>
      </c>
      <c r="J33" s="79">
        <v>4526154</v>
      </c>
    </row>
    <row r="34" spans="2:10" ht="19">
      <c r="B34" s="52" t="s">
        <v>18</v>
      </c>
      <c r="C34" s="31">
        <v>66.400000000000006</v>
      </c>
      <c r="D34" s="31">
        <v>19.100000000000001</v>
      </c>
      <c r="E34" s="83">
        <v>4725</v>
      </c>
      <c r="F34" s="31">
        <v>60.09</v>
      </c>
      <c r="G34" s="31">
        <v>0.2</v>
      </c>
      <c r="H34" s="31">
        <v>16</v>
      </c>
      <c r="I34" s="81">
        <v>628.6</v>
      </c>
      <c r="J34" s="79">
        <v>4573749</v>
      </c>
    </row>
    <row r="35" spans="2:10" ht="19">
      <c r="B35" s="52" t="s">
        <v>10</v>
      </c>
      <c r="C35" s="31">
        <v>62.8</v>
      </c>
      <c r="D35" s="31">
        <v>17.100000000000001</v>
      </c>
      <c r="E35" s="83">
        <v>4660</v>
      </c>
      <c r="F35" s="31">
        <v>58.28</v>
      </c>
      <c r="G35" s="31">
        <v>0.56999999999999995</v>
      </c>
      <c r="H35" s="31">
        <v>23</v>
      </c>
      <c r="I35" s="81">
        <v>409.1</v>
      </c>
      <c r="J35" s="79">
        <v>5108468</v>
      </c>
    </row>
    <row r="36" spans="2:10" s="93" customFormat="1" ht="19">
      <c r="B36" s="52" t="s">
        <v>30</v>
      </c>
      <c r="C36" s="31">
        <v>62.4</v>
      </c>
      <c r="D36" s="31">
        <v>16.899999999999999</v>
      </c>
      <c r="E36" s="83">
        <v>4624</v>
      </c>
      <c r="F36" s="31">
        <v>49.84</v>
      </c>
      <c r="G36" s="31">
        <v>1.5</v>
      </c>
      <c r="H36" s="31">
        <v>18</v>
      </c>
      <c r="I36" s="81">
        <v>491.3</v>
      </c>
      <c r="J36" s="79">
        <v>5373555</v>
      </c>
    </row>
    <row r="37" spans="2:10" ht="19">
      <c r="B37" s="52" t="s">
        <v>26</v>
      </c>
      <c r="C37" s="31">
        <v>41.2</v>
      </c>
      <c r="D37" s="31">
        <v>5.0999999999999996</v>
      </c>
      <c r="E37" s="83">
        <v>3968</v>
      </c>
      <c r="F37" s="31">
        <v>27.44</v>
      </c>
      <c r="G37" s="31">
        <v>43.43</v>
      </c>
      <c r="H37" s="31">
        <v>12</v>
      </c>
      <c r="I37" s="81">
        <v>280.60000000000002</v>
      </c>
      <c r="J37" s="79">
        <v>5737915</v>
      </c>
    </row>
    <row r="38" spans="2:10" ht="19">
      <c r="B38" s="52" t="s">
        <v>40</v>
      </c>
      <c r="C38" s="31">
        <v>45.1</v>
      </c>
      <c r="D38" s="31">
        <v>7.3</v>
      </c>
      <c r="E38" s="83">
        <v>4960</v>
      </c>
      <c r="F38" s="31">
        <v>15.97</v>
      </c>
      <c r="G38" s="31">
        <v>67.3</v>
      </c>
      <c r="H38" s="31">
        <v>22</v>
      </c>
      <c r="I38" s="81">
        <v>492.5</v>
      </c>
      <c r="J38" s="79">
        <v>5877610</v>
      </c>
    </row>
    <row r="39" spans="2:10" ht="19">
      <c r="B39" s="52" t="s">
        <v>29</v>
      </c>
      <c r="C39" s="31">
        <v>43.1</v>
      </c>
      <c r="D39" s="31">
        <v>6.2</v>
      </c>
      <c r="E39" s="83">
        <v>4023</v>
      </c>
      <c r="F39" s="31">
        <v>32.64</v>
      </c>
      <c r="G39" s="31">
        <v>45.79</v>
      </c>
      <c r="H39" s="31">
        <v>13</v>
      </c>
      <c r="I39" s="81">
        <v>297</v>
      </c>
      <c r="J39" s="79">
        <v>5910955</v>
      </c>
    </row>
    <row r="40" spans="2:10" ht="19">
      <c r="B40" s="52" t="s">
        <v>50</v>
      </c>
      <c r="C40" s="31">
        <v>54.2</v>
      </c>
      <c r="D40" s="31">
        <v>12.3</v>
      </c>
      <c r="E40" s="83">
        <v>4267</v>
      </c>
      <c r="F40" s="31">
        <v>44.64</v>
      </c>
      <c r="G40" s="31">
        <v>20.61</v>
      </c>
      <c r="H40" s="31">
        <v>19</v>
      </c>
      <c r="I40" s="81">
        <v>398.5</v>
      </c>
      <c r="J40" s="79">
        <v>6180253</v>
      </c>
    </row>
    <row r="41" spans="2:10" ht="19">
      <c r="B41" s="52" t="s">
        <v>11</v>
      </c>
      <c r="C41" s="31">
        <v>54.5</v>
      </c>
      <c r="D41" s="31">
        <v>12.5</v>
      </c>
      <c r="E41" s="83">
        <v>4545</v>
      </c>
      <c r="F41" s="31">
        <v>42.23</v>
      </c>
      <c r="G41" s="31">
        <v>12.67</v>
      </c>
      <c r="H41" s="31">
        <v>29</v>
      </c>
      <c r="I41" s="81">
        <v>488</v>
      </c>
      <c r="J41" s="79">
        <v>6196156</v>
      </c>
    </row>
    <row r="42" spans="2:10" ht="19">
      <c r="B42" s="52" t="s">
        <v>19</v>
      </c>
      <c r="C42" s="31">
        <v>51.7</v>
      </c>
      <c r="D42" s="31">
        <v>10.9</v>
      </c>
      <c r="E42" s="83">
        <v>4267</v>
      </c>
      <c r="F42" s="31">
        <v>41.72</v>
      </c>
      <c r="G42" s="31">
        <v>21.93</v>
      </c>
      <c r="H42" s="31">
        <v>23</v>
      </c>
      <c r="I42" s="81">
        <v>306.2</v>
      </c>
      <c r="J42" s="79">
        <v>6862199</v>
      </c>
    </row>
    <row r="43" spans="2:10" ht="19">
      <c r="B43" s="94" t="s">
        <v>54</v>
      </c>
      <c r="C43" s="89">
        <v>47.9</v>
      </c>
      <c r="D43" s="89">
        <v>8.8000000000000007</v>
      </c>
      <c r="E43" s="90">
        <v>3944</v>
      </c>
      <c r="F43" s="89">
        <v>47.88</v>
      </c>
      <c r="G43" s="89">
        <v>51.05</v>
      </c>
      <c r="H43" s="89">
        <v>6</v>
      </c>
      <c r="I43" s="91">
        <v>322</v>
      </c>
      <c r="J43" s="92">
        <v>7001399</v>
      </c>
    </row>
    <row r="44" spans="2:10" ht="19">
      <c r="B44" s="52" t="s">
        <v>13</v>
      </c>
      <c r="C44" s="31">
        <v>57.6</v>
      </c>
      <c r="D44" s="31">
        <v>14.2</v>
      </c>
      <c r="E44" s="83">
        <v>4486</v>
      </c>
      <c r="F44" s="31">
        <v>54.22</v>
      </c>
      <c r="G44" s="31">
        <v>4.6100000000000003</v>
      </c>
      <c r="H44" s="31">
        <v>26</v>
      </c>
      <c r="I44" s="81">
        <v>621.6</v>
      </c>
      <c r="J44" s="79">
        <v>7126489</v>
      </c>
    </row>
    <row r="45" spans="2:10" ht="19">
      <c r="B45" s="52" t="s">
        <v>41</v>
      </c>
      <c r="C45" s="31">
        <v>60.3</v>
      </c>
      <c r="D45" s="31">
        <v>15.7</v>
      </c>
      <c r="E45" s="83">
        <v>5755</v>
      </c>
      <c r="F45" s="31">
        <v>13.61</v>
      </c>
      <c r="G45" s="31">
        <v>4.76</v>
      </c>
      <c r="H45" s="31">
        <v>12</v>
      </c>
      <c r="I45" s="81">
        <v>431.5</v>
      </c>
      <c r="J45" s="79">
        <v>7431344</v>
      </c>
    </row>
    <row r="46" spans="2:10" ht="19">
      <c r="B46" s="52" t="s">
        <v>49</v>
      </c>
      <c r="C46" s="31">
        <v>48.3</v>
      </c>
      <c r="D46" s="31">
        <v>9.1</v>
      </c>
      <c r="E46" s="83">
        <v>3467</v>
      </c>
      <c r="F46" s="31">
        <v>38.78</v>
      </c>
      <c r="G46" s="31">
        <v>15.57</v>
      </c>
      <c r="H46" s="31">
        <v>10</v>
      </c>
      <c r="I46" s="81">
        <v>375.6</v>
      </c>
      <c r="J46" s="79">
        <v>7812880</v>
      </c>
    </row>
    <row r="47" spans="2:10" ht="19">
      <c r="B47" s="52" t="s">
        <v>37</v>
      </c>
      <c r="C47" s="31">
        <v>55.1</v>
      </c>
      <c r="D47" s="31">
        <v>12.8</v>
      </c>
      <c r="E47" s="83">
        <v>4354</v>
      </c>
      <c r="F47" s="31">
        <v>44.39</v>
      </c>
      <c r="G47" s="31">
        <v>14.85</v>
      </c>
      <c r="H47" s="31">
        <v>22</v>
      </c>
      <c r="I47" s="81">
        <v>234</v>
      </c>
      <c r="J47" s="79">
        <v>8715698</v>
      </c>
    </row>
    <row r="48" spans="2:10" ht="19">
      <c r="B48" s="94" t="s">
        <v>45</v>
      </c>
      <c r="C48" s="89">
        <v>52.7</v>
      </c>
      <c r="D48" s="89">
        <v>11.5</v>
      </c>
      <c r="E48" s="90">
        <v>4056</v>
      </c>
      <c r="F48" s="89">
        <v>47.15</v>
      </c>
      <c r="G48" s="89">
        <v>23.73</v>
      </c>
      <c r="H48" s="89">
        <v>15</v>
      </c>
      <c r="I48" s="91">
        <v>202.9</v>
      </c>
      <c r="J48" s="92">
        <v>9290841</v>
      </c>
    </row>
    <row r="49" spans="2:10" ht="19">
      <c r="B49" s="52" t="s">
        <v>15</v>
      </c>
      <c r="C49" s="31">
        <v>44.4</v>
      </c>
      <c r="D49" s="31">
        <v>6.9</v>
      </c>
      <c r="E49" s="83">
        <v>4018</v>
      </c>
      <c r="F49" s="31">
        <v>32.840000000000003</v>
      </c>
      <c r="G49" s="31">
        <v>60.66</v>
      </c>
      <c r="H49" s="31">
        <v>12</v>
      </c>
      <c r="I49" s="81">
        <v>461</v>
      </c>
      <c r="J49" s="79">
        <v>10037261</v>
      </c>
    </row>
    <row r="50" spans="2:10" ht="19">
      <c r="B50" s="52" t="s">
        <v>31</v>
      </c>
      <c r="C50" s="31">
        <v>59</v>
      </c>
      <c r="D50" s="31">
        <v>15</v>
      </c>
      <c r="E50" s="83">
        <v>4466</v>
      </c>
      <c r="F50" s="31">
        <v>50.45</v>
      </c>
      <c r="G50" s="31">
        <v>5.03</v>
      </c>
      <c r="H50" s="31">
        <v>23</v>
      </c>
      <c r="I50" s="81">
        <v>405.1</v>
      </c>
      <c r="J50" s="79">
        <v>10835491</v>
      </c>
    </row>
    <row r="51" spans="2:10" ht="19">
      <c r="B51" s="52" t="s">
        <v>16</v>
      </c>
      <c r="C51" s="31">
        <v>63.5</v>
      </c>
      <c r="D51" s="31">
        <v>17.5</v>
      </c>
      <c r="E51" s="83">
        <v>4661</v>
      </c>
      <c r="F51" s="31">
        <v>50.72</v>
      </c>
      <c r="G51" s="31">
        <v>0.76</v>
      </c>
      <c r="H51" s="31">
        <v>27</v>
      </c>
      <c r="I51" s="81">
        <v>367</v>
      </c>
      <c r="J51" s="79">
        <v>11029227</v>
      </c>
    </row>
    <row r="52" spans="2:10" ht="19">
      <c r="B52" s="52" t="s">
        <v>28</v>
      </c>
      <c r="C52" s="31">
        <v>50.7</v>
      </c>
      <c r="D52" s="31">
        <v>10.4</v>
      </c>
      <c r="E52" s="83">
        <v>4139</v>
      </c>
      <c r="F52" s="31">
        <v>39.159999999999997</v>
      </c>
      <c r="G52" s="31">
        <v>26.63</v>
      </c>
      <c r="H52" s="31">
        <v>18</v>
      </c>
      <c r="I52" s="81">
        <v>293.60000000000002</v>
      </c>
      <c r="J52" s="79">
        <v>11785935</v>
      </c>
    </row>
    <row r="53" spans="2:10" ht="19">
      <c r="B53" s="52" t="s">
        <v>21</v>
      </c>
      <c r="C53" s="31">
        <v>51.8</v>
      </c>
      <c r="D53" s="31">
        <v>11</v>
      </c>
      <c r="E53" s="83">
        <v>4380</v>
      </c>
      <c r="F53" s="31">
        <v>39.32</v>
      </c>
      <c r="G53" s="31">
        <v>21.75</v>
      </c>
      <c r="H53" s="31">
        <v>30</v>
      </c>
      <c r="I53" s="81">
        <v>287.3</v>
      </c>
      <c r="J53" s="79">
        <v>12549689</v>
      </c>
    </row>
    <row r="54" spans="2:10" ht="19">
      <c r="B54" s="52" t="s">
        <v>32</v>
      </c>
      <c r="C54" s="31">
        <v>48.8</v>
      </c>
      <c r="D54" s="31">
        <v>9.3000000000000007</v>
      </c>
      <c r="E54" s="83">
        <v>3939</v>
      </c>
      <c r="F54" s="31">
        <v>43.02</v>
      </c>
      <c r="G54" s="31">
        <v>35.840000000000003</v>
      </c>
      <c r="H54" s="31">
        <v>23</v>
      </c>
      <c r="I54" s="81">
        <v>279.89999999999998</v>
      </c>
      <c r="J54" s="79">
        <v>12961683</v>
      </c>
    </row>
    <row r="55" spans="2:10" ht="19">
      <c r="B55" s="52" t="s">
        <v>52</v>
      </c>
      <c r="C55" s="31">
        <v>45.4</v>
      </c>
      <c r="D55" s="31">
        <v>7.4</v>
      </c>
      <c r="E55" s="83">
        <v>3904</v>
      </c>
      <c r="F55" s="31">
        <v>41.9</v>
      </c>
      <c r="G55" s="31">
        <v>55.32</v>
      </c>
      <c r="H55" s="31">
        <v>19</v>
      </c>
      <c r="I55" s="81">
        <v>429.3</v>
      </c>
      <c r="J55" s="79">
        <v>19571216</v>
      </c>
    </row>
    <row r="56" spans="2:10" ht="19">
      <c r="B56" s="52" t="s">
        <v>34</v>
      </c>
      <c r="C56" s="31">
        <v>70.7</v>
      </c>
      <c r="D56" s="31">
        <v>21.5</v>
      </c>
      <c r="E56" s="83">
        <v>4859</v>
      </c>
      <c r="F56" s="31">
        <v>54.57</v>
      </c>
      <c r="G56" s="31">
        <v>0.01</v>
      </c>
      <c r="H56" s="31">
        <v>10</v>
      </c>
      <c r="I56" s="81">
        <v>258.89999999999998</v>
      </c>
      <c r="J56" s="79">
        <v>22610726</v>
      </c>
    </row>
    <row r="57" spans="2:10" ht="19">
      <c r="B57" s="52" t="s">
        <v>24</v>
      </c>
      <c r="C57" s="31">
        <v>64.8</v>
      </c>
      <c r="D57" s="31">
        <v>18.2</v>
      </c>
      <c r="E57" s="83">
        <v>5137</v>
      </c>
      <c r="F57" s="31">
        <v>28.87</v>
      </c>
      <c r="G57" s="31">
        <v>1.36</v>
      </c>
      <c r="H57" s="31">
        <v>48</v>
      </c>
      <c r="I57" s="81">
        <v>431.9</v>
      </c>
      <c r="J57" s="79">
        <v>30503301</v>
      </c>
    </row>
    <row r="58" spans="2:10" ht="19">
      <c r="B58" s="53" t="s">
        <v>53</v>
      </c>
      <c r="C58" s="33">
        <v>59.4</v>
      </c>
      <c r="D58" s="33">
        <v>15.2</v>
      </c>
      <c r="E58" s="102">
        <v>5050</v>
      </c>
      <c r="F58" s="33">
        <v>22.2</v>
      </c>
      <c r="G58" s="33">
        <v>3.76</v>
      </c>
      <c r="H58" s="33">
        <v>14</v>
      </c>
      <c r="I58" s="82">
        <v>499.5</v>
      </c>
      <c r="J58" s="80">
        <v>38965193</v>
      </c>
    </row>
  </sheetData>
  <mergeCells count="1">
    <mergeCell ref="B1:D1"/>
  </mergeCells>
  <conditionalFormatting sqref="C8:C58">
    <cfRule type="colorScale" priority="29">
      <colorScale>
        <cfvo type="min"/>
        <cfvo type="percentile" val="50"/>
        <cfvo type="max"/>
        <color rgb="FF5A8AC6"/>
        <color rgb="FFFCFCFF"/>
        <color rgb="FFF8696B"/>
      </colorScale>
    </cfRule>
  </conditionalFormatting>
  <conditionalFormatting sqref="C8:C57">
    <cfRule type="colorScale" priority="31">
      <colorScale>
        <cfvo type="min"/>
        <cfvo type="percentile" val="50"/>
        <cfvo type="max"/>
        <color rgb="FF5A8AC6"/>
        <color rgb="FFFCFCFF"/>
        <color rgb="FFF8696B"/>
      </colorScale>
    </cfRule>
  </conditionalFormatting>
  <conditionalFormatting sqref="D8:D58">
    <cfRule type="colorScale" priority="30">
      <colorScale>
        <cfvo type="min"/>
        <cfvo type="percentile" val="50"/>
        <cfvo type="max"/>
        <color rgb="FF5A8AC6"/>
        <color rgb="FFFCFCFF"/>
        <color rgb="FFF8696B"/>
      </colorScale>
    </cfRule>
  </conditionalFormatting>
  <conditionalFormatting sqref="E8:E58">
    <cfRule type="colorScale" priority="27">
      <colorScale>
        <cfvo type="min"/>
        <cfvo type="percentile" val="50"/>
        <cfvo type="max"/>
        <color rgb="FF63BE7B"/>
        <color rgb="FFFFEB84"/>
        <color rgb="FFF8696B"/>
      </colorScale>
    </cfRule>
    <cfRule type="colorScale" priority="28">
      <colorScale>
        <cfvo type="min"/>
        <cfvo type="max"/>
        <color rgb="FFFFC000"/>
        <color theme="5"/>
      </colorScale>
    </cfRule>
  </conditionalFormatting>
  <conditionalFormatting sqref="F8:F58">
    <cfRule type="dataBar" priority="20">
      <dataBar>
        <cfvo type="min"/>
        <cfvo type="max"/>
        <color theme="3" tint="0.749992370372631"/>
      </dataBar>
      <extLst>
        <ext xmlns:x14="http://schemas.microsoft.com/office/spreadsheetml/2009/9/main" uri="{B025F937-C7B1-47D3-B67F-A62EFF666E3E}">
          <x14:id>{CDDE74E5-BD7A-8C47-A284-1E87B47EFC53}</x14:id>
        </ext>
      </extLst>
    </cfRule>
    <cfRule type="dataBar" priority="23">
      <dataBar>
        <cfvo type="min"/>
        <cfvo type="max"/>
        <color rgb="FF008AEF"/>
      </dataBar>
      <extLst>
        <ext xmlns:x14="http://schemas.microsoft.com/office/spreadsheetml/2009/9/main" uri="{B025F937-C7B1-47D3-B67F-A62EFF666E3E}">
          <x14:id>{C018B1FB-770E-DF4B-9E58-45F0909E2D9D}</x14:id>
        </ext>
      </extLst>
    </cfRule>
  </conditionalFormatting>
  <conditionalFormatting sqref="G8:G58">
    <cfRule type="dataBar" priority="21">
      <dataBar>
        <cfvo type="min"/>
        <cfvo type="max"/>
        <color theme="4" tint="0.79998168889431442"/>
      </dataBar>
      <extLst>
        <ext xmlns:x14="http://schemas.microsoft.com/office/spreadsheetml/2009/9/main" uri="{B025F937-C7B1-47D3-B67F-A62EFF666E3E}">
          <x14:id>{BB62E7E8-42F8-A645-9DA7-33A4EFBD448C}</x14:id>
        </ext>
      </extLst>
    </cfRule>
    <cfRule type="dataBar" priority="22">
      <dataBar>
        <cfvo type="min"/>
        <cfvo type="max"/>
        <color rgb="FF638EC6"/>
      </dataBar>
      <extLst>
        <ext xmlns:x14="http://schemas.microsoft.com/office/spreadsheetml/2009/9/main" uri="{B025F937-C7B1-47D3-B67F-A62EFF666E3E}">
          <x14:id>{0D079982-5B18-DC4D-8A5A-993D86F3C26F}</x14:id>
        </ext>
      </extLst>
    </cfRule>
  </conditionalFormatting>
  <conditionalFormatting sqref="J8:J58">
    <cfRule type="colorScale" priority="2">
      <colorScale>
        <cfvo type="min"/>
        <cfvo type="max"/>
        <color rgb="FFFCFCFF"/>
        <color rgb="FFF8696B"/>
      </colorScale>
    </cfRule>
  </conditionalFormatting>
  <conditionalFormatting sqref="I8:I58">
    <cfRule type="dataBar" priority="3">
      <dataBar>
        <cfvo type="min"/>
        <cfvo type="max"/>
        <color rgb="FF7030A0"/>
      </dataBar>
      <extLst>
        <ext xmlns:x14="http://schemas.microsoft.com/office/spreadsheetml/2009/9/main" uri="{B025F937-C7B1-47D3-B67F-A62EFF666E3E}">
          <x14:id>{8D8A3B60-F6CF-0F4C-AEA1-0112BB8AD1C9}</x14:id>
        </ext>
      </extLst>
    </cfRule>
  </conditionalFormatting>
  <pageMargins left="0.7" right="0.7" top="0.75" bottom="0.75" header="0.3" footer="0.3"/>
  <pageSetup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DDE74E5-BD7A-8C47-A284-1E87B47EFC53}">
            <x14:dataBar minLength="0" maxLength="100" gradient="0">
              <x14:cfvo type="autoMin"/>
              <x14:cfvo type="autoMax"/>
              <x14:negativeFillColor rgb="FFFF0000"/>
              <x14:axisColor rgb="FF000000"/>
            </x14:dataBar>
          </x14:cfRule>
          <x14:cfRule type="dataBar" id="{C018B1FB-770E-DF4B-9E58-45F0909E2D9D}">
            <x14:dataBar minLength="0" maxLength="100" border="1" negativeBarBorderColorSameAsPositive="0">
              <x14:cfvo type="autoMin"/>
              <x14:cfvo type="autoMax"/>
              <x14:borderColor rgb="FF008AEF"/>
              <x14:negativeFillColor rgb="FFFF0000"/>
              <x14:negativeBorderColor rgb="FFFF0000"/>
              <x14:axisColor rgb="FF000000"/>
            </x14:dataBar>
          </x14:cfRule>
          <xm:sqref>F8:F58</xm:sqref>
        </x14:conditionalFormatting>
        <x14:conditionalFormatting xmlns:xm="http://schemas.microsoft.com/office/excel/2006/main">
          <x14:cfRule type="dataBar" id="{BB62E7E8-42F8-A645-9DA7-33A4EFBD448C}">
            <x14:dataBar minLength="0" maxLength="100" gradient="0">
              <x14:cfvo type="autoMin"/>
              <x14:cfvo type="autoMax"/>
              <x14:negativeFillColor rgb="FFFF0000"/>
              <x14:axisColor rgb="FF000000"/>
            </x14:dataBar>
          </x14:cfRule>
          <x14:cfRule type="dataBar" id="{0D079982-5B18-DC4D-8A5A-993D86F3C26F}">
            <x14:dataBar minLength="0" maxLength="100" border="1" negativeBarBorderColorSameAsPositive="0">
              <x14:cfvo type="autoMin"/>
              <x14:cfvo type="autoMax"/>
              <x14:borderColor rgb="FF638EC6"/>
              <x14:negativeFillColor rgb="FFFF0000"/>
              <x14:negativeBorderColor rgb="FFFF0000"/>
              <x14:axisColor rgb="FF000000"/>
            </x14:dataBar>
          </x14:cfRule>
          <xm:sqref>G8:G58</xm:sqref>
        </x14:conditionalFormatting>
        <x14:conditionalFormatting xmlns:xm="http://schemas.microsoft.com/office/excel/2006/main">
          <x14:cfRule type="dataBar" id="{8D8A3B60-F6CF-0F4C-AEA1-0112BB8AD1C9}">
            <x14:dataBar minLength="0" maxLength="100">
              <x14:cfvo type="autoMin"/>
              <x14:cfvo type="autoMax"/>
              <x14:negativeFillColor rgb="FFFF0000"/>
              <x14:axisColor rgb="FF000000"/>
            </x14:dataBar>
          </x14:cfRule>
          <xm:sqref>I8:I58</xm:sqref>
        </x14:conditionalFormatting>
        <x14:conditionalFormatting xmlns:xm="http://schemas.microsoft.com/office/excel/2006/main">
          <x14:cfRule type="iconSet" priority="9" id="{264D6EB1-DC9D-174C-8B24-D37D3E027C51}">
            <x14:iconSet iconSet="3Signs" custom="1">
              <x14:cfvo type="percent">
                <xm:f>0</xm:f>
              </x14:cfvo>
              <x14:cfvo type="num">
                <xm:f>10</xm:f>
              </x14:cfvo>
              <x14:cfvo type="num">
                <xm:f>25</xm:f>
              </x14:cfvo>
              <x14:cfIcon iconSet="3Flags" iconId="2"/>
              <x14:cfIcon iconSet="3Flags" iconId="1"/>
              <x14:cfIcon iconSet="3Flags" iconId="0"/>
            </x14:iconSet>
          </x14:cfRule>
          <xm:sqref>H8:H57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B50BD-5D84-F240-88AA-3F1440858A62}">
  <sheetPr codeName="Sheet6">
    <tabColor theme="9" tint="0.59999389629810485"/>
  </sheetPr>
  <dimension ref="B1:H61"/>
  <sheetViews>
    <sheetView zoomScale="90" workbookViewId="0">
      <selection activeCell="B7" sqref="B7"/>
    </sheetView>
  </sheetViews>
  <sheetFormatPr baseColWidth="10" defaultColWidth="11" defaultRowHeight="16"/>
  <cols>
    <col min="1" max="1" width="11" style="43"/>
    <col min="2" max="6" width="28.6640625" style="44" customWidth="1"/>
    <col min="7" max="7" width="28.83203125" style="44" customWidth="1"/>
    <col min="8" max="8" width="30.33203125" style="43" bestFit="1" customWidth="1"/>
    <col min="9" max="9" width="37.6640625" style="43" bestFit="1" customWidth="1"/>
    <col min="10" max="10" width="32" style="43" bestFit="1" customWidth="1"/>
    <col min="11" max="11" width="18.83203125" style="43" bestFit="1" customWidth="1"/>
    <col min="12" max="12" width="20.33203125" style="43" bestFit="1" customWidth="1"/>
    <col min="13" max="13" width="14.1640625" style="43" bestFit="1" customWidth="1"/>
    <col min="14" max="16384" width="11" style="43"/>
  </cols>
  <sheetData>
    <row r="1" spans="2:8" ht="45">
      <c r="B1" s="106" t="s">
        <v>132</v>
      </c>
      <c r="C1" s="106"/>
      <c r="D1" s="106"/>
      <c r="E1" s="106"/>
      <c r="F1" s="87"/>
      <c r="G1" s="45"/>
      <c r="H1" s="42"/>
    </row>
    <row r="4" spans="2:8" ht="27">
      <c r="B4" s="74" t="s">
        <v>0</v>
      </c>
      <c r="C4" s="74" t="s">
        <v>123</v>
      </c>
      <c r="D4" s="74" t="s">
        <v>124</v>
      </c>
      <c r="E4" s="74" t="s">
        <v>125</v>
      </c>
      <c r="F4" s="74" t="s">
        <v>129</v>
      </c>
      <c r="H4" s="60" t="s">
        <v>126</v>
      </c>
    </row>
    <row r="5" spans="2:8" ht="24">
      <c r="B5" s="95" t="s">
        <v>54</v>
      </c>
      <c r="C5" s="58">
        <f>_xlfn.XLOOKUP(B5,Income_Expenses[State],Income_Expenses[Monthly Rent],"Type in State")</f>
        <v>1811</v>
      </c>
      <c r="D5" s="58">
        <f>_xlfn.XLOOKUP(B5,Income_Expenses[State],Income_Expenses[Monthly Grocery],"Type in State")</f>
        <v>406.21</v>
      </c>
      <c r="E5" s="58">
        <f>_xlfn.XLOOKUP(B5,Income_Expenses[State],Income_Expenses[Monthly Income],"Type in State")</f>
        <v>5281.666666666667</v>
      </c>
      <c r="F5" s="58">
        <f>_xlfn.XLOOKUP(B5,Income_Expenses[State],Income_Expenses[Annual Income],"Type in State")</f>
        <v>63380</v>
      </c>
      <c r="H5" s="59">
        <f>IF(OR(C5=0,D5=0),"Missing data",C5+D5)</f>
        <v>2217.21</v>
      </c>
    </row>
    <row r="6" spans="2:8" ht="27">
      <c r="B6" s="86"/>
      <c r="C6" s="58" t="str">
        <f>_xlfn.XLOOKUP(B6,Income_Expenses[State],Income_Expenses[Monthly Rent],"Type in State")</f>
        <v>Type in State</v>
      </c>
      <c r="D6" s="58" t="str">
        <f>_xlfn.XLOOKUP(B6,Income_Expenses[State],Income_Expenses[Monthly Grocery],"Type in State")</f>
        <v>Type in State</v>
      </c>
      <c r="E6" s="58" t="str">
        <f>_xlfn.XLOOKUP(B6,Income_Expenses[State],Income_Expenses[Monthly Income],"Type in State")</f>
        <v>Type in State</v>
      </c>
      <c r="F6" s="58" t="str">
        <f>_xlfn.XLOOKUP(B6,Income_Expenses[State],Income_Expenses[Annual Income],"Type in State")</f>
        <v>Type in State</v>
      </c>
      <c r="H6" s="60" t="s">
        <v>127</v>
      </c>
    </row>
    <row r="7" spans="2:8" ht="24">
      <c r="B7" s="86"/>
      <c r="C7" s="58" t="str">
        <f>_xlfn.XLOOKUP(B7,Income_Expenses[State],Income_Expenses[Monthly Rent],"Type in State")</f>
        <v>Type in State</v>
      </c>
      <c r="D7" s="58" t="str">
        <f>_xlfn.XLOOKUP(B7,Income_Expenses[State],Income_Expenses[Monthly Grocery],"Type in State")</f>
        <v>Type in State</v>
      </c>
      <c r="E7" s="58" t="str">
        <f>_xlfn.XLOOKUP(B7,Income_Expenses[State],Income_Expenses[Monthly Income],"Type in State")</f>
        <v>Type in State</v>
      </c>
      <c r="F7" s="58" t="str">
        <f>_xlfn.XLOOKUP(B7,Income_Expenses[State],Income_Expenses[Annual Income],"Type in State")</f>
        <v>Type in State</v>
      </c>
      <c r="H7" s="59">
        <f>IF(OR(C5=0,D5=0),"Missing data",E5-(C5+D5))</f>
        <v>3064.4566666666669</v>
      </c>
    </row>
    <row r="8" spans="2:8" ht="23.25" customHeight="1"/>
    <row r="10" spans="2:8" ht="20">
      <c r="B10" s="75" t="s">
        <v>0</v>
      </c>
      <c r="C10" s="76" t="s">
        <v>123</v>
      </c>
      <c r="D10" s="76" t="s">
        <v>124</v>
      </c>
      <c r="E10" s="76" t="s">
        <v>125</v>
      </c>
      <c r="F10" s="77" t="s">
        <v>129</v>
      </c>
    </row>
    <row r="11" spans="2:8">
      <c r="B11" s="34" t="s">
        <v>10</v>
      </c>
      <c r="C11" s="35">
        <v>1064</v>
      </c>
      <c r="D11" s="36">
        <v>397.39</v>
      </c>
      <c r="E11" s="35">
        <f>Income_Expenses[[#This Row],[Annual Income]]/12</f>
        <v>4716.5</v>
      </c>
      <c r="F11" s="37">
        <v>56598</v>
      </c>
    </row>
    <row r="12" spans="2:8">
      <c r="B12" s="34" t="s">
        <v>51</v>
      </c>
      <c r="C12" s="35"/>
      <c r="D12" s="36">
        <v>483.24</v>
      </c>
      <c r="E12" s="35">
        <f>Income_Expenses[[#This Row],[Annual Income]]/12</f>
        <v>6349.25</v>
      </c>
      <c r="F12" s="37">
        <v>76191</v>
      </c>
    </row>
    <row r="13" spans="2:8">
      <c r="B13" s="34" t="s">
        <v>41</v>
      </c>
      <c r="C13" s="35">
        <v>1491</v>
      </c>
      <c r="D13" s="36">
        <v>302.8</v>
      </c>
      <c r="E13" s="35">
        <f>Income_Expenses[[#This Row],[Annual Income]]/12</f>
        <v>5347.666666666667</v>
      </c>
      <c r="F13" s="37">
        <v>64172</v>
      </c>
    </row>
    <row r="14" spans="2:8">
      <c r="B14" s="34" t="s">
        <v>12</v>
      </c>
      <c r="C14" s="35">
        <v>1025</v>
      </c>
      <c r="D14" s="36">
        <v>282.45999999999998</v>
      </c>
      <c r="E14" s="35">
        <f>Income_Expenses[[#This Row],[Annual Income]]/12</f>
        <v>4263.666666666667</v>
      </c>
      <c r="F14" s="37">
        <v>51164</v>
      </c>
    </row>
    <row r="15" spans="2:8">
      <c r="B15" s="34" t="s">
        <v>53</v>
      </c>
      <c r="C15" s="35">
        <v>1958</v>
      </c>
      <c r="D15" s="36">
        <v>370.96</v>
      </c>
      <c r="E15" s="35">
        <f>Income_Expenses[[#This Row],[Annual Income]]/12</f>
        <v>6269.583333333333</v>
      </c>
      <c r="F15" s="37">
        <v>75235</v>
      </c>
    </row>
    <row r="16" spans="2:8">
      <c r="B16" s="34" t="s">
        <v>40</v>
      </c>
      <c r="C16" s="35">
        <v>1635</v>
      </c>
      <c r="D16" s="36">
        <v>326.92</v>
      </c>
      <c r="E16" s="35">
        <f>Income_Expenses[[#This Row],[Annual Income]]/12</f>
        <v>6309.166666666667</v>
      </c>
      <c r="F16" s="37">
        <v>75710</v>
      </c>
    </row>
    <row r="17" spans="2:6">
      <c r="B17" s="34" t="s">
        <v>44</v>
      </c>
      <c r="C17" s="35">
        <v>1644</v>
      </c>
      <c r="D17" s="36">
        <v>343.3</v>
      </c>
      <c r="E17" s="35">
        <f>Income_Expenses[[#This Row],[Annual Income]]/12</f>
        <v>6825.75</v>
      </c>
      <c r="F17" s="37">
        <v>81909</v>
      </c>
    </row>
    <row r="18" spans="2:6">
      <c r="B18" s="34" t="s">
        <v>36</v>
      </c>
      <c r="C18" s="35">
        <v>1621</v>
      </c>
      <c r="D18" s="36">
        <v>380.39</v>
      </c>
      <c r="E18" s="35">
        <f>Income_Expenses[[#This Row],[Annual Income]]/12</f>
        <v>5939.916666666667</v>
      </c>
      <c r="F18" s="37">
        <v>71279</v>
      </c>
    </row>
    <row r="19" spans="2:6">
      <c r="B19" s="34" t="s">
        <v>55</v>
      </c>
      <c r="C19" s="35">
        <v>1901</v>
      </c>
      <c r="D19" s="36"/>
      <c r="E19" s="35">
        <f>Income_Expenses[[#This Row],[Annual Income]]/12</f>
        <v>7197.5</v>
      </c>
      <c r="F19" s="37">
        <v>86370</v>
      </c>
    </row>
    <row r="20" spans="2:6">
      <c r="B20" s="34" t="s">
        <v>34</v>
      </c>
      <c r="C20" s="35">
        <v>1687</v>
      </c>
      <c r="D20" s="36">
        <v>364.25</v>
      </c>
      <c r="E20" s="35">
        <f>Income_Expenses[[#This Row],[Annual Income]]/12</f>
        <v>5035.75</v>
      </c>
      <c r="F20" s="37">
        <v>60429</v>
      </c>
    </row>
    <row r="21" spans="2:6">
      <c r="B21" s="34" t="s">
        <v>16</v>
      </c>
      <c r="C21" s="35">
        <v>1365</v>
      </c>
      <c r="D21" s="36">
        <v>397.97</v>
      </c>
      <c r="E21" s="35">
        <f>Income_Expenses[[#This Row],[Annual Income]]/12</f>
        <v>5040.833333333333</v>
      </c>
      <c r="F21" s="37">
        <v>60490</v>
      </c>
    </row>
    <row r="22" spans="2:6">
      <c r="B22" s="34" t="s">
        <v>56</v>
      </c>
      <c r="C22" s="35">
        <v>2418</v>
      </c>
      <c r="D22" s="36">
        <v>556.76</v>
      </c>
      <c r="E22" s="35">
        <f>Income_Expenses[[#This Row],[Annual Income]]/12</f>
        <v>6565.666666666667</v>
      </c>
      <c r="F22" s="37">
        <v>78788</v>
      </c>
    </row>
    <row r="23" spans="2:6">
      <c r="B23" s="34" t="s">
        <v>33</v>
      </c>
      <c r="C23" s="35">
        <v>1170</v>
      </c>
      <c r="D23" s="36">
        <v>281.12</v>
      </c>
      <c r="E23" s="35">
        <f>Income_Expenses[[#This Row],[Annual Income]]/12</f>
        <v>5228.166666666667</v>
      </c>
      <c r="F23" s="37">
        <v>62738</v>
      </c>
    </row>
    <row r="24" spans="2:6">
      <c r="B24" s="34" t="s">
        <v>21</v>
      </c>
      <c r="C24" s="35">
        <v>1303</v>
      </c>
      <c r="D24" s="36">
        <v>327.31</v>
      </c>
      <c r="E24" s="35">
        <f>Income_Expenses[[#This Row],[Annual Income]]/12</f>
        <v>5591.833333333333</v>
      </c>
      <c r="F24" s="37">
        <v>67102</v>
      </c>
    </row>
    <row r="25" spans="2:6">
      <c r="B25" s="34" t="s">
        <v>19</v>
      </c>
      <c r="C25" s="35">
        <v>1111</v>
      </c>
      <c r="D25" s="36">
        <v>318.02999999999997</v>
      </c>
      <c r="E25" s="35">
        <f>Income_Expenses[[#This Row],[Annual Income]]/12</f>
        <v>5060.416666666667</v>
      </c>
      <c r="F25" s="37">
        <v>60725</v>
      </c>
    </row>
    <row r="26" spans="2:6">
      <c r="B26" s="34" t="s">
        <v>14</v>
      </c>
      <c r="C26" s="35">
        <v>974</v>
      </c>
      <c r="D26" s="36">
        <v>347.05</v>
      </c>
      <c r="E26" s="35">
        <f>Income_Expenses[[#This Row],[Annual Income]]/12</f>
        <v>5096.5</v>
      </c>
      <c r="F26" s="37">
        <v>61158</v>
      </c>
    </row>
    <row r="27" spans="2:6">
      <c r="B27" s="34" t="s">
        <v>8</v>
      </c>
      <c r="C27" s="35">
        <v>1113</v>
      </c>
      <c r="D27" s="36">
        <v>261.35000000000002</v>
      </c>
      <c r="E27" s="35">
        <f>Income_Expenses[[#This Row],[Annual Income]]/12</f>
        <v>4664.25</v>
      </c>
      <c r="F27" s="37">
        <v>55971</v>
      </c>
    </row>
    <row r="28" spans="2:6">
      <c r="B28" s="34" t="s">
        <v>20</v>
      </c>
      <c r="C28" s="35">
        <v>999</v>
      </c>
      <c r="D28" s="36">
        <v>315.2</v>
      </c>
      <c r="E28" s="35">
        <f>Income_Expenses[[#This Row],[Annual Income]]/12</f>
        <v>4419</v>
      </c>
      <c r="F28" s="37">
        <v>53028</v>
      </c>
    </row>
    <row r="29" spans="2:6">
      <c r="B29" s="34" t="s">
        <v>18</v>
      </c>
      <c r="C29" s="35">
        <v>1052</v>
      </c>
      <c r="D29" s="36">
        <v>325.19</v>
      </c>
      <c r="E29" s="35">
        <f>Income_Expenses[[#This Row],[Annual Income]]/12</f>
        <v>5120</v>
      </c>
      <c r="F29" s="37">
        <v>61440</v>
      </c>
    </row>
    <row r="30" spans="2:6">
      <c r="B30" s="34" t="s">
        <v>42</v>
      </c>
      <c r="C30" s="35">
        <v>1207</v>
      </c>
      <c r="D30" s="36">
        <v>372.21</v>
      </c>
      <c r="E30" s="35">
        <f>Income_Expenses[[#This Row],[Annual Income]]/12</f>
        <v>6666.833333333333</v>
      </c>
      <c r="F30" s="37">
        <v>80002</v>
      </c>
    </row>
    <row r="31" spans="2:6">
      <c r="B31" s="34" t="s">
        <v>50</v>
      </c>
      <c r="C31" s="35">
        <v>1741</v>
      </c>
      <c r="D31" s="36">
        <v>343.67</v>
      </c>
      <c r="E31" s="35">
        <f>Income_Expenses[[#This Row],[Annual Income]]/12</f>
        <v>6705.583333333333</v>
      </c>
      <c r="F31" s="37">
        <v>80467</v>
      </c>
    </row>
    <row r="32" spans="2:6">
      <c r="B32" s="34" t="s">
        <v>54</v>
      </c>
      <c r="C32" s="35">
        <v>1811</v>
      </c>
      <c r="D32" s="36">
        <v>406.21</v>
      </c>
      <c r="E32" s="35">
        <f>Income_Expenses[[#This Row],[Annual Income]]/12</f>
        <v>5281.666666666667</v>
      </c>
      <c r="F32" s="37">
        <v>63380</v>
      </c>
    </row>
    <row r="33" spans="2:6">
      <c r="B33" s="34" t="s">
        <v>15</v>
      </c>
      <c r="C33" s="35">
        <v>1109</v>
      </c>
      <c r="D33" s="36">
        <v>327.12</v>
      </c>
      <c r="E33" s="35">
        <f>Income_Expenses[[#This Row],[Annual Income]]/12</f>
        <v>5970.25</v>
      </c>
      <c r="F33" s="37">
        <v>71643</v>
      </c>
    </row>
    <row r="34" spans="2:6">
      <c r="B34" s="34" t="s">
        <v>26</v>
      </c>
      <c r="C34" s="35">
        <v>1114</v>
      </c>
      <c r="D34" s="36">
        <v>395.39</v>
      </c>
      <c r="E34" s="35">
        <f>Income_Expenses[[#This Row],[Annual Income]]/12</f>
        <v>4050.25</v>
      </c>
      <c r="F34" s="37">
        <v>48603</v>
      </c>
    </row>
    <row r="35" spans="2:6">
      <c r="B35" s="34" t="s">
        <v>7</v>
      </c>
      <c r="C35" s="35">
        <v>1102</v>
      </c>
      <c r="D35" s="36">
        <v>423.33</v>
      </c>
      <c r="E35" s="35">
        <f>Income_Expenses[[#This Row],[Annual Income]]/12</f>
        <v>5097.083333333333</v>
      </c>
      <c r="F35" s="37">
        <v>61165</v>
      </c>
    </row>
    <row r="36" spans="2:6">
      <c r="B36" s="34" t="s">
        <v>11</v>
      </c>
      <c r="C36" s="35">
        <v>1050</v>
      </c>
      <c r="D36" s="36">
        <v>312.63</v>
      </c>
      <c r="E36" s="35">
        <f>Income_Expenses[[#This Row],[Annual Income]]/12</f>
        <v>5403</v>
      </c>
      <c r="F36" s="37">
        <v>64836</v>
      </c>
    </row>
    <row r="37" spans="2:6">
      <c r="B37" s="34" t="s">
        <v>38</v>
      </c>
      <c r="C37" s="35">
        <v>1091</v>
      </c>
      <c r="D37" s="36">
        <v>323.91000000000003</v>
      </c>
      <c r="E37" s="35">
        <f>Income_Expenses[[#This Row],[Annual Income]]/12</f>
        <v>5435.25</v>
      </c>
      <c r="F37" s="37">
        <v>65223</v>
      </c>
    </row>
    <row r="38" spans="2:6">
      <c r="B38" s="34" t="s">
        <v>17</v>
      </c>
      <c r="C38" s="35">
        <v>1087</v>
      </c>
      <c r="D38" s="36">
        <v>336.9</v>
      </c>
      <c r="E38" s="35">
        <f>Income_Expenses[[#This Row],[Annual Income]]/12</f>
        <v>5289.416666666667</v>
      </c>
      <c r="F38" s="37">
        <v>63473</v>
      </c>
    </row>
    <row r="39" spans="2:6">
      <c r="B39" s="34" t="s">
        <v>35</v>
      </c>
      <c r="C39" s="35">
        <v>1461</v>
      </c>
      <c r="D39" s="36">
        <v>293.43</v>
      </c>
      <c r="E39" s="35">
        <f>Income_Expenses[[#This Row],[Annual Income]]/12</f>
        <v>6989.75</v>
      </c>
      <c r="F39" s="37">
        <v>83877</v>
      </c>
    </row>
    <row r="40" spans="2:6">
      <c r="B40" s="34" t="s">
        <v>46</v>
      </c>
      <c r="C40" s="35">
        <v>1682</v>
      </c>
      <c r="D40" s="36">
        <v>183</v>
      </c>
      <c r="E40" s="35">
        <f>Income_Expenses[[#This Row],[Annual Income]]/12</f>
        <v>6991.5</v>
      </c>
      <c r="F40" s="37">
        <v>83898</v>
      </c>
    </row>
    <row r="41" spans="2:6">
      <c r="B41" s="34" t="s">
        <v>45</v>
      </c>
      <c r="C41" s="35">
        <v>1850</v>
      </c>
      <c r="D41" s="36">
        <v>343.67</v>
      </c>
      <c r="E41" s="35">
        <f>Income_Expenses[[#This Row],[Annual Income]]/12</f>
        <v>4516.083333333333</v>
      </c>
      <c r="F41" s="37">
        <v>54193</v>
      </c>
    </row>
    <row r="42" spans="2:6">
      <c r="B42" s="34" t="s">
        <v>25</v>
      </c>
      <c r="C42" s="35">
        <v>1295</v>
      </c>
      <c r="D42" s="36">
        <v>307.79000000000002</v>
      </c>
      <c r="E42" s="35">
        <f>Income_Expenses[[#This Row],[Annual Income]]/12</f>
        <v>5734.5</v>
      </c>
      <c r="F42" s="37">
        <v>68814</v>
      </c>
    </row>
    <row r="43" spans="2:6">
      <c r="B43" s="34" t="s">
        <v>52</v>
      </c>
      <c r="C43" s="35">
        <v>1765</v>
      </c>
      <c r="D43" s="36">
        <v>482.87</v>
      </c>
      <c r="E43" s="35">
        <f>Income_Expenses[[#This Row],[Annual Income]]/12</f>
        <v>5006</v>
      </c>
      <c r="F43" s="37">
        <v>60072</v>
      </c>
    </row>
    <row r="44" spans="2:6">
      <c r="B44" s="34" t="s">
        <v>31</v>
      </c>
      <c r="C44" s="35">
        <v>1272</v>
      </c>
      <c r="D44" s="36">
        <v>341.1</v>
      </c>
      <c r="E44" s="35">
        <f>Income_Expenses[[#This Row],[Annual Income]]/12</f>
        <v>5843.75</v>
      </c>
      <c r="F44" s="37">
        <v>70125</v>
      </c>
    </row>
    <row r="45" spans="2:6">
      <c r="B45" s="34" t="s">
        <v>27</v>
      </c>
      <c r="C45" s="35">
        <v>880</v>
      </c>
      <c r="D45" s="36">
        <v>326.66000000000003</v>
      </c>
      <c r="E45" s="35">
        <f>Income_Expenses[[#This Row],[Annual Income]]/12</f>
        <v>5162.916666666667</v>
      </c>
      <c r="F45" s="37">
        <v>61955</v>
      </c>
    </row>
    <row r="46" spans="2:6">
      <c r="B46" s="34" t="s">
        <v>28</v>
      </c>
      <c r="C46" s="35">
        <v>1073</v>
      </c>
      <c r="D46" s="36">
        <v>341.48</v>
      </c>
      <c r="E46" s="35">
        <f>Income_Expenses[[#This Row],[Annual Income]]/12</f>
        <v>4613.166666666667</v>
      </c>
      <c r="F46" s="37">
        <v>55358</v>
      </c>
    </row>
    <row r="47" spans="2:6">
      <c r="B47" s="34" t="s">
        <v>6</v>
      </c>
      <c r="C47" s="35">
        <v>1081</v>
      </c>
      <c r="D47" s="36">
        <v>346.37</v>
      </c>
      <c r="E47" s="35">
        <f>Income_Expenses[[#This Row],[Annual Income]]/12</f>
        <v>5804.416666666667</v>
      </c>
      <c r="F47" s="37">
        <v>69653</v>
      </c>
    </row>
    <row r="48" spans="2:6">
      <c r="B48" s="34" t="s">
        <v>47</v>
      </c>
      <c r="C48" s="35">
        <v>1368</v>
      </c>
      <c r="D48" s="36">
        <v>375.41</v>
      </c>
      <c r="E48" s="35">
        <f>Income_Expenses[[#This Row],[Annual Income]]/12</f>
        <v>5537.833333333333</v>
      </c>
      <c r="F48" s="37">
        <v>66454</v>
      </c>
    </row>
    <row r="49" spans="2:6">
      <c r="B49" s="34" t="s">
        <v>32</v>
      </c>
      <c r="C49" s="35">
        <v>1193</v>
      </c>
      <c r="D49" s="36">
        <v>401.02</v>
      </c>
      <c r="E49" s="35">
        <f>Income_Expenses[[#This Row],[Annual Income]]/12</f>
        <v>5904.833333333333</v>
      </c>
      <c r="F49" s="37">
        <v>70858</v>
      </c>
    </row>
    <row r="50" spans="2:6">
      <c r="B50" s="34" t="s">
        <v>43</v>
      </c>
      <c r="C50" s="35">
        <v>1565</v>
      </c>
      <c r="D50" s="36">
        <v>390.19</v>
      </c>
      <c r="E50" s="35">
        <f>Income_Expenses[[#This Row],[Annual Income]]/12</f>
        <v>4959.25</v>
      </c>
      <c r="F50" s="37">
        <v>59511</v>
      </c>
    </row>
    <row r="51" spans="2:6">
      <c r="B51" s="34" t="s">
        <v>30</v>
      </c>
      <c r="C51" s="35">
        <v>1319</v>
      </c>
      <c r="D51" s="36">
        <v>411.29</v>
      </c>
      <c r="E51" s="35">
        <f>Income_Expenses[[#This Row],[Annual Income]]/12</f>
        <v>4771.083333333333</v>
      </c>
      <c r="F51" s="37">
        <v>57253</v>
      </c>
    </row>
    <row r="52" spans="2:6">
      <c r="B52" s="34" t="s">
        <v>22</v>
      </c>
      <c r="C52" s="35">
        <v>977</v>
      </c>
      <c r="D52" s="36">
        <v>286.23</v>
      </c>
      <c r="E52" s="35">
        <f>Income_Expenses[[#This Row],[Annual Income]]/12</f>
        <v>4770.5</v>
      </c>
      <c r="F52" s="37">
        <v>57246</v>
      </c>
    </row>
    <row r="53" spans="2:6">
      <c r="B53" s="34" t="s">
        <v>13</v>
      </c>
      <c r="C53" s="35">
        <v>1180</v>
      </c>
      <c r="D53" s="36">
        <v>346.37</v>
      </c>
      <c r="E53" s="35">
        <f>Income_Expenses[[#This Row],[Annual Income]]/12</f>
        <v>5003.333333333333</v>
      </c>
      <c r="F53" s="37">
        <v>60040</v>
      </c>
    </row>
    <row r="54" spans="2:6">
      <c r="B54" s="34" t="s">
        <v>24</v>
      </c>
      <c r="C54" s="35">
        <v>1318</v>
      </c>
      <c r="D54" s="36">
        <v>286.64</v>
      </c>
      <c r="E54" s="35">
        <f>Income_Expenses[[#This Row],[Annual Income]]/12</f>
        <v>5080.916666666667</v>
      </c>
      <c r="F54" s="37">
        <v>60971</v>
      </c>
    </row>
    <row r="55" spans="2:6">
      <c r="B55" s="34" t="s">
        <v>39</v>
      </c>
      <c r="C55" s="35">
        <v>1378</v>
      </c>
      <c r="D55" s="36">
        <v>282.23</v>
      </c>
      <c r="E55" s="35">
        <f>Income_Expenses[[#This Row],[Annual Income]]/12</f>
        <v>6064.333333333333</v>
      </c>
      <c r="F55" s="37">
        <v>72772</v>
      </c>
    </row>
    <row r="56" spans="2:6">
      <c r="B56" s="34" t="s">
        <v>48</v>
      </c>
      <c r="C56" s="35"/>
      <c r="D56" s="36">
        <v>497.41</v>
      </c>
      <c r="E56" s="35">
        <f>Income_Expenses[[#This Row],[Annual Income]]/12</f>
        <v>5828</v>
      </c>
      <c r="F56" s="37">
        <v>69936</v>
      </c>
    </row>
    <row r="57" spans="2:6">
      <c r="B57" s="34" t="s">
        <v>37</v>
      </c>
      <c r="C57" s="35">
        <v>1594</v>
      </c>
      <c r="D57" s="36">
        <v>298.01</v>
      </c>
      <c r="E57" s="35">
        <f>Income_Expenses[[#This Row],[Annual Income]]/12</f>
        <v>6281.333333333333</v>
      </c>
      <c r="F57" s="37">
        <v>75376</v>
      </c>
    </row>
    <row r="58" spans="2:6">
      <c r="B58" s="34" t="s">
        <v>49</v>
      </c>
      <c r="C58" s="35">
        <v>1567</v>
      </c>
      <c r="D58" s="36">
        <v>402.08</v>
      </c>
      <c r="E58" s="35">
        <f>Income_Expenses[[#This Row],[Annual Income]]/12</f>
        <v>6926.75</v>
      </c>
      <c r="F58" s="37">
        <v>83121</v>
      </c>
    </row>
    <row r="59" spans="2:6">
      <c r="B59" s="34" t="s">
        <v>9</v>
      </c>
      <c r="C59" s="35">
        <v>992</v>
      </c>
      <c r="D59" s="36">
        <v>427.19</v>
      </c>
      <c r="E59" s="35">
        <f>Income_Expenses[[#This Row],[Annual Income]]/12</f>
        <v>4701.666666666667</v>
      </c>
      <c r="F59" s="37">
        <v>56420</v>
      </c>
    </row>
    <row r="60" spans="2:6">
      <c r="B60" s="34" t="s">
        <v>29</v>
      </c>
      <c r="C60" s="35">
        <v>1098</v>
      </c>
      <c r="D60" s="36">
        <v>385.97</v>
      </c>
      <c r="E60" s="35">
        <f>Income_Expenses[[#This Row],[Annual Income]]/12</f>
        <v>5262.166666666667</v>
      </c>
      <c r="F60" s="37">
        <v>63146</v>
      </c>
    </row>
    <row r="61" spans="2:6">
      <c r="B61" s="38" t="s">
        <v>23</v>
      </c>
      <c r="C61" s="39">
        <v>1124</v>
      </c>
      <c r="D61" s="40">
        <v>345.62</v>
      </c>
      <c r="E61" s="39">
        <f>Income_Expenses[[#This Row],[Annual Income]]/12</f>
        <v>5454.75</v>
      </c>
      <c r="F61" s="41">
        <v>65457</v>
      </c>
    </row>
  </sheetData>
  <mergeCells count="1">
    <mergeCell ref="B1:E1"/>
  </mergeCells>
  <conditionalFormatting sqref="F11:F61">
    <cfRule type="cellIs" dxfId="2" priority="1" operator="lessThan">
      <formula>10000</formula>
    </cfRule>
  </conditionalFormatting>
  <dataValidations count="1">
    <dataValidation type="list" errorStyle="warning" allowBlank="1" showInputMessage="1" showErrorMessage="1" error="Please check spelling" sqref="B5:B7" xr:uid="{11DDCCD2-DA9C-4A37-9D25-DFD87252992F}">
      <formula1>$B$11:$B$61</formula1>
    </dataValidation>
  </dataValidations>
  <pageMargins left="0.7" right="0.7" top="0.75" bottom="0.75" header="0.3" footer="0.3"/>
  <pageSetup orientation="portrait" horizontalDpi="0" verticalDpi="0"/>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91F0E-26A5-4B01-B8ED-A8704C2CAE83}">
  <sheetPr>
    <tabColor theme="9" tint="0.59999389629810485"/>
  </sheetPr>
  <dimension ref="A1:I56"/>
  <sheetViews>
    <sheetView zoomScaleNormal="100" workbookViewId="0">
      <selection activeCell="H23" sqref="H23"/>
    </sheetView>
  </sheetViews>
  <sheetFormatPr baseColWidth="10" defaultColWidth="9" defaultRowHeight="16"/>
  <cols>
    <col min="1" max="4" width="12.6640625" style="43" customWidth="1"/>
    <col min="5" max="5" width="10.6640625" style="43" customWidth="1"/>
    <col min="6" max="6" width="12" style="43" bestFit="1" customWidth="1"/>
    <col min="7" max="9" width="15.1640625" style="43" bestFit="1" customWidth="1"/>
    <col min="10" max="10" width="15.83203125" style="43" customWidth="1"/>
    <col min="11" max="19" width="10.6640625" style="43" customWidth="1"/>
    <col min="20" max="16384" width="9" style="43"/>
  </cols>
  <sheetData>
    <row r="1" spans="1:9" ht="47">
      <c r="A1" s="105" t="s">
        <v>133</v>
      </c>
      <c r="B1" s="105"/>
      <c r="C1" s="105"/>
      <c r="D1" s="105"/>
      <c r="E1" s="105"/>
      <c r="F1" s="105"/>
      <c r="G1" s="73"/>
      <c r="H1" s="73"/>
      <c r="I1" s="73"/>
    </row>
    <row r="5" spans="1:9" ht="22">
      <c r="F5" s="84" t="s">
        <v>0</v>
      </c>
      <c r="G5" s="84" t="s">
        <v>121</v>
      </c>
      <c r="H5" s="84" t="s">
        <v>120</v>
      </c>
      <c r="I5" s="84" t="s">
        <v>122</v>
      </c>
    </row>
    <row r="6" spans="1:9">
      <c r="F6" s="63" t="s">
        <v>50</v>
      </c>
      <c r="G6" s="64">
        <v>78711</v>
      </c>
      <c r="H6" s="64">
        <v>86223</v>
      </c>
      <c r="I6" s="64">
        <v>80002</v>
      </c>
    </row>
    <row r="7" spans="1:9">
      <c r="F7"/>
      <c r="G7"/>
      <c r="H7"/>
      <c r="I7"/>
    </row>
    <row r="8" spans="1:9">
      <c r="F8"/>
      <c r="G8"/>
      <c r="H8"/>
      <c r="I8"/>
    </row>
    <row r="9" spans="1:9">
      <c r="F9"/>
      <c r="G9"/>
      <c r="H9"/>
      <c r="I9"/>
    </row>
    <row r="10" spans="1:9">
      <c r="F10"/>
      <c r="G10"/>
      <c r="H10"/>
      <c r="I10"/>
    </row>
    <row r="11" spans="1:9">
      <c r="F11"/>
      <c r="G11"/>
      <c r="H11"/>
      <c r="I11"/>
    </row>
    <row r="12" spans="1:9">
      <c r="F12"/>
      <c r="G12"/>
      <c r="H12"/>
      <c r="I12"/>
    </row>
    <row r="13" spans="1:9">
      <c r="F13"/>
      <c r="G13"/>
      <c r="H13"/>
      <c r="I13"/>
    </row>
    <row r="14" spans="1:9">
      <c r="F14"/>
      <c r="G14"/>
      <c r="H14"/>
      <c r="I14"/>
    </row>
    <row r="15" spans="1:9">
      <c r="F15"/>
      <c r="G15"/>
      <c r="H15"/>
      <c r="I15"/>
    </row>
    <row r="16" spans="1:9">
      <c r="F16"/>
      <c r="G16"/>
      <c r="H16"/>
      <c r="I16"/>
    </row>
    <row r="17" spans="6:9">
      <c r="F17"/>
      <c r="G17"/>
      <c r="H17"/>
      <c r="I17"/>
    </row>
    <row r="18" spans="6:9">
      <c r="F18"/>
      <c r="G18"/>
      <c r="H18"/>
      <c r="I18"/>
    </row>
    <row r="19" spans="6:9">
      <c r="F19"/>
      <c r="G19"/>
      <c r="H19"/>
      <c r="I19"/>
    </row>
    <row r="20" spans="6:9">
      <c r="F20"/>
      <c r="G20"/>
      <c r="H20"/>
      <c r="I20"/>
    </row>
    <row r="21" spans="6:9">
      <c r="F21"/>
      <c r="G21"/>
      <c r="H21"/>
      <c r="I21"/>
    </row>
    <row r="22" spans="6:9">
      <c r="F22"/>
      <c r="G22"/>
      <c r="H22"/>
      <c r="I22"/>
    </row>
    <row r="23" spans="6:9">
      <c r="F23"/>
      <c r="G23"/>
      <c r="H23"/>
      <c r="I23"/>
    </row>
    <row r="24" spans="6:9">
      <c r="F24"/>
      <c r="G24"/>
      <c r="H24"/>
      <c r="I24"/>
    </row>
    <row r="25" spans="6:9">
      <c r="F25"/>
      <c r="G25"/>
      <c r="H25"/>
      <c r="I25"/>
    </row>
    <row r="26" spans="6:9">
      <c r="F26"/>
      <c r="G26"/>
      <c r="H26"/>
      <c r="I26"/>
    </row>
    <row r="27" spans="6:9">
      <c r="F27"/>
      <c r="G27"/>
      <c r="H27"/>
      <c r="I27"/>
    </row>
    <row r="28" spans="6:9">
      <c r="F28"/>
      <c r="G28"/>
      <c r="H28"/>
      <c r="I28"/>
    </row>
    <row r="29" spans="6:9">
      <c r="F29"/>
      <c r="G29"/>
      <c r="H29"/>
      <c r="I29"/>
    </row>
    <row r="30" spans="6:9">
      <c r="F30"/>
      <c r="G30"/>
      <c r="H30"/>
      <c r="I30"/>
    </row>
    <row r="31" spans="6:9">
      <c r="F31"/>
      <c r="G31"/>
      <c r="H31"/>
      <c r="I31"/>
    </row>
    <row r="32" spans="6:9">
      <c r="F32"/>
      <c r="G32"/>
      <c r="H32"/>
      <c r="I32"/>
    </row>
    <row r="33" spans="6:9">
      <c r="F33"/>
      <c r="G33"/>
      <c r="H33"/>
      <c r="I33"/>
    </row>
    <row r="34" spans="6:9">
      <c r="F34"/>
      <c r="G34"/>
      <c r="H34"/>
      <c r="I34"/>
    </row>
    <row r="35" spans="6:9">
      <c r="F35"/>
      <c r="G35"/>
      <c r="H35"/>
      <c r="I35"/>
    </row>
    <row r="36" spans="6:9">
      <c r="F36"/>
      <c r="G36"/>
      <c r="H36"/>
      <c r="I36"/>
    </row>
    <row r="37" spans="6:9">
      <c r="F37"/>
      <c r="G37"/>
      <c r="H37"/>
      <c r="I37"/>
    </row>
    <row r="38" spans="6:9">
      <c r="F38"/>
      <c r="G38"/>
      <c r="H38"/>
      <c r="I38"/>
    </row>
    <row r="39" spans="6:9">
      <c r="F39"/>
      <c r="G39"/>
      <c r="H39"/>
      <c r="I39"/>
    </row>
    <row r="40" spans="6:9">
      <c r="F40"/>
      <c r="G40"/>
      <c r="H40"/>
      <c r="I40"/>
    </row>
    <row r="41" spans="6:9">
      <c r="F41"/>
      <c r="G41"/>
      <c r="H41"/>
      <c r="I41"/>
    </row>
    <row r="42" spans="6:9">
      <c r="F42"/>
      <c r="G42"/>
      <c r="H42"/>
      <c r="I42"/>
    </row>
    <row r="43" spans="6:9">
      <c r="F43"/>
      <c r="G43"/>
      <c r="H43"/>
      <c r="I43"/>
    </row>
    <row r="44" spans="6:9">
      <c r="F44"/>
      <c r="G44"/>
      <c r="H44"/>
      <c r="I44"/>
    </row>
    <row r="45" spans="6:9">
      <c r="F45"/>
      <c r="G45"/>
      <c r="H45"/>
      <c r="I45"/>
    </row>
    <row r="46" spans="6:9">
      <c r="F46"/>
      <c r="G46"/>
      <c r="H46"/>
      <c r="I46"/>
    </row>
    <row r="47" spans="6:9">
      <c r="F47"/>
      <c r="G47"/>
      <c r="H47"/>
      <c r="I47"/>
    </row>
    <row r="48" spans="6:9">
      <c r="F48"/>
      <c r="G48"/>
      <c r="H48"/>
      <c r="I48"/>
    </row>
    <row r="49" spans="6:9">
      <c r="F49"/>
      <c r="G49"/>
      <c r="H49"/>
      <c r="I49"/>
    </row>
    <row r="50" spans="6:9">
      <c r="F50"/>
      <c r="G50"/>
      <c r="H50"/>
      <c r="I50"/>
    </row>
    <row r="51" spans="6:9">
      <c r="F51"/>
      <c r="G51"/>
      <c r="H51"/>
      <c r="I51"/>
    </row>
    <row r="52" spans="6:9">
      <c r="F52"/>
      <c r="G52"/>
      <c r="H52"/>
      <c r="I52"/>
    </row>
    <row r="53" spans="6:9">
      <c r="F53"/>
      <c r="G53"/>
      <c r="H53"/>
      <c r="I53"/>
    </row>
    <row r="54" spans="6:9">
      <c r="F54"/>
      <c r="G54"/>
      <c r="H54"/>
      <c r="I54"/>
    </row>
    <row r="55" spans="6:9">
      <c r="F55"/>
      <c r="G55"/>
      <c r="H55"/>
      <c r="I55"/>
    </row>
    <row r="56" spans="6:9">
      <c r="F56"/>
      <c r="G56"/>
      <c r="H56"/>
      <c r="I56"/>
    </row>
  </sheetData>
  <mergeCells count="1">
    <mergeCell ref="A1:F1"/>
  </mergeCells>
  <pageMargins left="0.7" right="0.7" top="0.75" bottom="0.75" header="0.3" footer="0.3"/>
  <drawing r:id="rId2"/>
  <legacyDrawing r:id="rId3"/>
  <extLst>
    <ext xmlns:x14="http://schemas.microsoft.com/office/spreadsheetml/2009/9/main" uri="{05C60535-1F16-4fd2-B633-F4F36F0B64E0}">
      <x14:sparklineGroups xmlns:xm="http://schemas.microsoft.com/office/excel/2006/main">
        <x14:sparklineGroup displayEmptyCellsAs="gap" negative="1" xr2:uid="{0BDDA40D-60D1-4D7D-9CE9-5560F14822AA}">
          <x14:colorSeries rgb="FF376092"/>
          <x14:colorNegative rgb="FFD00000"/>
          <x14:colorAxis rgb="FF000000"/>
          <x14:colorMarkers rgb="FFD00000"/>
          <x14:colorFirst rgb="FFD00000"/>
          <x14:colorLast rgb="FFD00000"/>
          <x14:colorHigh rgb="FFD00000"/>
          <x14:colorLow rgb="FFD00000"/>
          <x14:sparklines>
            <x14:sparkline>
              <xm:f>'Income Comparision'!G6:I6</xm:f>
              <xm:sqref>J6</xm:sqref>
            </x14:sparkline>
            <x14:sparkline>
              <xm:f>'Income Comparision'!G7:I7</xm:f>
              <xm:sqref>J7</xm:sqref>
            </x14:sparkline>
            <x14:sparkline>
              <xm:f>'Income Comparision'!G8:I8</xm:f>
              <xm:sqref>J8</xm:sqref>
            </x14:sparkline>
            <x14:sparkline>
              <xm:f>'Income Comparision'!G9:I9</xm:f>
              <xm:sqref>J9</xm:sqref>
            </x14:sparkline>
            <x14:sparkline>
              <xm:f>'Income Comparision'!G10:I10</xm:f>
              <xm:sqref>J10</xm:sqref>
            </x14:sparkline>
            <x14:sparkline>
              <xm:f>'Income Comparision'!G11:I11</xm:f>
              <xm:sqref>J11</xm:sqref>
            </x14:sparkline>
            <x14:sparkline>
              <xm:f>'Income Comparision'!G12:I12</xm:f>
              <xm:sqref>J12</xm:sqref>
            </x14:sparkline>
            <x14:sparkline>
              <xm:f>'Income Comparision'!G13:I13</xm:f>
              <xm:sqref>J13</xm:sqref>
            </x14:sparkline>
            <x14:sparkline>
              <xm:f>'Income Comparision'!G14:I14</xm:f>
              <xm:sqref>J14</xm:sqref>
            </x14:sparkline>
            <x14:sparkline>
              <xm:f>'Income Comparision'!G15:I15</xm:f>
              <xm:sqref>J15</xm:sqref>
            </x14:sparkline>
            <x14:sparkline>
              <xm:f>'Income Comparision'!G16:I16</xm:f>
              <xm:sqref>J16</xm:sqref>
            </x14:sparkline>
            <x14:sparkline>
              <xm:f>'Income Comparision'!G17:I17</xm:f>
              <xm:sqref>J17</xm:sqref>
            </x14:sparkline>
            <x14:sparkline>
              <xm:f>'Income Comparision'!G18:I18</xm:f>
              <xm:sqref>J18</xm:sqref>
            </x14:sparkline>
            <x14:sparkline>
              <xm:f>'Income Comparision'!G19:I19</xm:f>
              <xm:sqref>J19</xm:sqref>
            </x14:sparkline>
            <x14:sparkline>
              <xm:f>'Income Comparision'!G20:I20</xm:f>
              <xm:sqref>J20</xm:sqref>
            </x14:sparkline>
            <x14:sparkline>
              <xm:f>'Income Comparision'!G21:I21</xm:f>
              <xm:sqref>J21</xm:sqref>
            </x14:sparkline>
            <x14:sparkline>
              <xm:f>'Income Comparision'!G22:I22</xm:f>
              <xm:sqref>J22</xm:sqref>
            </x14:sparkline>
            <x14:sparkline>
              <xm:f>'Income Comparision'!G23:I23</xm:f>
              <xm:sqref>J23</xm:sqref>
            </x14:sparkline>
            <x14:sparkline>
              <xm:f>'Income Comparision'!G24:I24</xm:f>
              <xm:sqref>J24</xm:sqref>
            </x14:sparkline>
            <x14:sparkline>
              <xm:f>'Income Comparision'!G25:I25</xm:f>
              <xm:sqref>J25</xm:sqref>
            </x14:sparkline>
            <x14:sparkline>
              <xm:f>'Income Comparision'!G26:I26</xm:f>
              <xm:sqref>J26</xm:sqref>
            </x14:sparkline>
            <x14:sparkline>
              <xm:f>'Income Comparision'!G27:I27</xm:f>
              <xm:sqref>J27</xm:sqref>
            </x14:sparkline>
            <x14:sparkline>
              <xm:f>'Income Comparision'!G28:I28</xm:f>
              <xm:sqref>J28</xm:sqref>
            </x14:sparkline>
            <x14:sparkline>
              <xm:f>'Income Comparision'!G29:I29</xm:f>
              <xm:sqref>J29</xm:sqref>
            </x14:sparkline>
            <x14:sparkline>
              <xm:f>'Income Comparision'!G30:I30</xm:f>
              <xm:sqref>J30</xm:sqref>
            </x14:sparkline>
            <x14:sparkline>
              <xm:f>'Income Comparision'!G31:I31</xm:f>
              <xm:sqref>J31</xm:sqref>
            </x14:sparkline>
            <x14:sparkline>
              <xm:f>'Income Comparision'!G32:I32</xm:f>
              <xm:sqref>J32</xm:sqref>
            </x14:sparkline>
            <x14:sparkline>
              <xm:f>'Income Comparision'!G33:I33</xm:f>
              <xm:sqref>J33</xm:sqref>
            </x14:sparkline>
            <x14:sparkline>
              <xm:f>'Income Comparision'!G34:I34</xm:f>
              <xm:sqref>J34</xm:sqref>
            </x14:sparkline>
            <x14:sparkline>
              <xm:f>'Income Comparision'!G35:I35</xm:f>
              <xm:sqref>J35</xm:sqref>
            </x14:sparkline>
            <x14:sparkline>
              <xm:f>'Income Comparision'!G36:I36</xm:f>
              <xm:sqref>J36</xm:sqref>
            </x14:sparkline>
            <x14:sparkline>
              <xm:f>'Income Comparision'!G37:I37</xm:f>
              <xm:sqref>J37</xm:sqref>
            </x14:sparkline>
            <x14:sparkline>
              <xm:f>'Income Comparision'!G38:I38</xm:f>
              <xm:sqref>J38</xm:sqref>
            </x14:sparkline>
            <x14:sparkline>
              <xm:f>'Income Comparision'!G39:I39</xm:f>
              <xm:sqref>J39</xm:sqref>
            </x14:sparkline>
            <x14:sparkline>
              <xm:f>'Income Comparision'!G40:I40</xm:f>
              <xm:sqref>J40</xm:sqref>
            </x14:sparkline>
            <x14:sparkline>
              <xm:f>'Income Comparision'!G41:I41</xm:f>
              <xm:sqref>J41</xm:sqref>
            </x14:sparkline>
            <x14:sparkline>
              <xm:f>'Income Comparision'!G42:I42</xm:f>
              <xm:sqref>J42</xm:sqref>
            </x14:sparkline>
            <x14:sparkline>
              <xm:f>'Income Comparision'!G43:I43</xm:f>
              <xm:sqref>J43</xm:sqref>
            </x14:sparkline>
            <x14:sparkline>
              <xm:f>'Income Comparision'!G44:I44</xm:f>
              <xm:sqref>J44</xm:sqref>
            </x14:sparkline>
            <x14:sparkline>
              <xm:f>'Income Comparision'!G45:I45</xm:f>
              <xm:sqref>J45</xm:sqref>
            </x14:sparkline>
            <x14:sparkline>
              <xm:f>'Income Comparision'!G46:I46</xm:f>
              <xm:sqref>J46</xm:sqref>
            </x14:sparkline>
            <x14:sparkline>
              <xm:f>'Income Comparision'!G47:I47</xm:f>
              <xm:sqref>J47</xm:sqref>
            </x14:sparkline>
            <x14:sparkline>
              <xm:f>'Income Comparision'!G48:I48</xm:f>
              <xm:sqref>J48</xm:sqref>
            </x14:sparkline>
            <x14:sparkline>
              <xm:f>'Income Comparision'!G49:I49</xm:f>
              <xm:sqref>J49</xm:sqref>
            </x14:sparkline>
            <x14:sparkline>
              <xm:f>'Income Comparision'!G50:I50</xm:f>
              <xm:sqref>J50</xm:sqref>
            </x14:sparkline>
            <x14:sparkline>
              <xm:f>'Income Comparision'!G51:I51</xm:f>
              <xm:sqref>J51</xm:sqref>
            </x14:sparkline>
            <x14:sparkline>
              <xm:f>'Income Comparision'!G52:I52</xm:f>
              <xm:sqref>J52</xm:sqref>
            </x14:sparkline>
            <x14:sparkline>
              <xm:f>'Income Comparision'!G53:I53</xm:f>
              <xm:sqref>J53</xm:sqref>
            </x14:sparkline>
            <x14:sparkline>
              <xm:f>'Income Comparision'!G54:I54</xm:f>
              <xm:sqref>J54</xm:sqref>
            </x14:sparkline>
            <x14:sparkline>
              <xm:f>'Income Comparision'!G55:I55</xm:f>
              <xm:sqref>J55</xm:sqref>
            </x14:sparkline>
            <x14:sparkline>
              <xm:f>'Income Comparision'!G56:I56</xm:f>
              <xm:sqref>J56</xm:sqref>
            </x14:sparkline>
          </x14:sparklines>
        </x14:sparklineGroup>
      </x14:sparklineGroup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7B463-8C92-344F-90DC-D8C2F0E492C5}">
  <sheetPr codeName="Sheet4">
    <tabColor theme="9" tint="0.59999389629810485"/>
  </sheetPr>
  <dimension ref="A1:J56"/>
  <sheetViews>
    <sheetView zoomScaleNormal="100" workbookViewId="0">
      <selection activeCell="H17" sqref="H17"/>
    </sheetView>
  </sheetViews>
  <sheetFormatPr baseColWidth="10" defaultColWidth="11" defaultRowHeight="16"/>
  <cols>
    <col min="1" max="4" width="12.6640625" style="43" customWidth="1"/>
    <col min="5" max="5" width="10.6640625" style="43" customWidth="1"/>
    <col min="6" max="10" width="12" style="43" bestFit="1" customWidth="1"/>
    <col min="11" max="11" width="15.83203125" style="43" customWidth="1"/>
    <col min="12" max="12" width="15.1640625" style="43" bestFit="1" customWidth="1"/>
    <col min="13" max="13" width="15.6640625" style="43" bestFit="1" customWidth="1"/>
    <col min="14" max="16384" width="11" style="43"/>
  </cols>
  <sheetData>
    <row r="1" spans="1:10" ht="47">
      <c r="A1" s="105" t="s">
        <v>134</v>
      </c>
      <c r="B1" s="105"/>
      <c r="C1" s="105"/>
      <c r="D1" s="105"/>
      <c r="E1" s="105"/>
      <c r="F1" s="105"/>
      <c r="G1" s="105"/>
      <c r="H1" s="73"/>
      <c r="I1" s="73"/>
      <c r="J1" s="73"/>
    </row>
    <row r="5" spans="1:10" ht="22">
      <c r="F5" s="85" t="s">
        <v>0</v>
      </c>
      <c r="G5" s="85" t="s">
        <v>77</v>
      </c>
      <c r="H5" s="85" t="s">
        <v>75</v>
      </c>
      <c r="I5" s="85" t="s">
        <v>73</v>
      </c>
      <c r="J5" s="85" t="s">
        <v>71</v>
      </c>
    </row>
    <row r="6" spans="1:10">
      <c r="F6" s="63" t="s">
        <v>44</v>
      </c>
      <c r="G6" s="65">
        <v>8</v>
      </c>
      <c r="H6" s="65">
        <v>6.4</v>
      </c>
      <c r="I6" s="65">
        <v>4.0999999999999996</v>
      </c>
      <c r="J6" s="65">
        <v>3.8</v>
      </c>
    </row>
    <row r="7" spans="1:10">
      <c r="F7" s="63" t="s">
        <v>36</v>
      </c>
      <c r="G7" s="65">
        <v>7.5</v>
      </c>
      <c r="H7" s="65">
        <v>5.5</v>
      </c>
      <c r="I7" s="65">
        <v>4.3</v>
      </c>
      <c r="J7" s="65">
        <v>4</v>
      </c>
    </row>
    <row r="8" spans="1:10">
      <c r="F8" s="63" t="s">
        <v>21</v>
      </c>
      <c r="G8" s="65">
        <v>9.3000000000000007</v>
      </c>
      <c r="H8" s="65">
        <v>6.1</v>
      </c>
      <c r="I8" s="65">
        <v>4.5999999999999996</v>
      </c>
      <c r="J8" s="65">
        <v>4.5</v>
      </c>
    </row>
    <row r="9" spans="1:10">
      <c r="F9"/>
      <c r="G9"/>
      <c r="H9"/>
      <c r="I9"/>
      <c r="J9"/>
    </row>
    <row r="10" spans="1:10">
      <c r="F10"/>
      <c r="G10"/>
      <c r="H10"/>
      <c r="I10"/>
      <c r="J10"/>
    </row>
    <row r="11" spans="1:10">
      <c r="F11"/>
      <c r="G11"/>
      <c r="H11"/>
      <c r="I11"/>
      <c r="J11"/>
    </row>
    <row r="12" spans="1:10">
      <c r="F12"/>
      <c r="G12"/>
      <c r="H12"/>
      <c r="I12"/>
      <c r="J12"/>
    </row>
    <row r="13" spans="1:10">
      <c r="F13"/>
      <c r="G13"/>
      <c r="H13"/>
      <c r="I13"/>
      <c r="J13"/>
    </row>
    <row r="14" spans="1:10">
      <c r="F14"/>
      <c r="G14"/>
      <c r="H14"/>
      <c r="I14"/>
      <c r="J14"/>
    </row>
    <row r="15" spans="1:10">
      <c r="F15"/>
      <c r="G15"/>
      <c r="H15"/>
      <c r="I15"/>
      <c r="J15"/>
    </row>
    <row r="16" spans="1:10">
      <c r="F16"/>
      <c r="G16"/>
      <c r="H16"/>
      <c r="I16"/>
      <c r="J16"/>
    </row>
    <row r="17" spans="6:10">
      <c r="F17"/>
      <c r="G17"/>
      <c r="H17"/>
      <c r="I17"/>
      <c r="J17"/>
    </row>
    <row r="18" spans="6:10">
      <c r="F18"/>
      <c r="G18"/>
      <c r="H18"/>
      <c r="I18"/>
      <c r="J18"/>
    </row>
    <row r="19" spans="6:10">
      <c r="F19"/>
      <c r="G19"/>
      <c r="H19"/>
      <c r="I19"/>
      <c r="J19"/>
    </row>
    <row r="20" spans="6:10">
      <c r="F20"/>
      <c r="G20"/>
      <c r="H20"/>
      <c r="I20"/>
      <c r="J20"/>
    </row>
    <row r="21" spans="6:10">
      <c r="F21"/>
      <c r="G21"/>
      <c r="H21"/>
      <c r="I21"/>
      <c r="J21"/>
    </row>
    <row r="22" spans="6:10">
      <c r="F22"/>
      <c r="G22"/>
      <c r="H22"/>
      <c r="I22"/>
      <c r="J22"/>
    </row>
    <row r="23" spans="6:10">
      <c r="F23"/>
      <c r="G23"/>
      <c r="H23"/>
      <c r="I23"/>
      <c r="J23"/>
    </row>
    <row r="24" spans="6:10">
      <c r="F24"/>
      <c r="G24"/>
      <c r="H24"/>
      <c r="I24"/>
      <c r="J24"/>
    </row>
    <row r="25" spans="6:10">
      <c r="F25"/>
      <c r="G25"/>
      <c r="H25"/>
      <c r="I25"/>
      <c r="J25"/>
    </row>
    <row r="26" spans="6:10">
      <c r="F26"/>
      <c r="G26"/>
      <c r="H26"/>
      <c r="I26"/>
      <c r="J26"/>
    </row>
    <row r="27" spans="6:10">
      <c r="F27"/>
      <c r="G27"/>
      <c r="H27"/>
      <c r="I27"/>
      <c r="J27"/>
    </row>
    <row r="28" spans="6:10">
      <c r="F28"/>
      <c r="G28"/>
      <c r="H28"/>
      <c r="I28"/>
      <c r="J28"/>
    </row>
    <row r="29" spans="6:10">
      <c r="F29"/>
      <c r="G29"/>
      <c r="H29"/>
      <c r="I29"/>
      <c r="J29"/>
    </row>
    <row r="30" spans="6:10">
      <c r="F30"/>
      <c r="G30"/>
      <c r="H30"/>
      <c r="I30"/>
      <c r="J30"/>
    </row>
    <row r="31" spans="6:10">
      <c r="F31"/>
      <c r="G31"/>
      <c r="H31"/>
      <c r="I31"/>
      <c r="J31"/>
    </row>
    <row r="32" spans="6:10">
      <c r="F32"/>
      <c r="G32"/>
      <c r="H32"/>
      <c r="I32"/>
      <c r="J32"/>
    </row>
    <row r="33" spans="6:10">
      <c r="F33"/>
      <c r="G33"/>
      <c r="H33"/>
      <c r="I33"/>
      <c r="J33"/>
    </row>
    <row r="34" spans="6:10">
      <c r="F34"/>
      <c r="G34"/>
      <c r="H34"/>
      <c r="I34"/>
      <c r="J34"/>
    </row>
    <row r="35" spans="6:10">
      <c r="F35"/>
      <c r="G35"/>
      <c r="H35"/>
      <c r="I35"/>
      <c r="J35"/>
    </row>
    <row r="36" spans="6:10">
      <c r="F36"/>
      <c r="G36"/>
      <c r="H36"/>
      <c r="I36"/>
      <c r="J36"/>
    </row>
    <row r="37" spans="6:10">
      <c r="F37"/>
      <c r="G37"/>
      <c r="H37"/>
      <c r="I37"/>
      <c r="J37"/>
    </row>
    <row r="38" spans="6:10">
      <c r="F38"/>
      <c r="G38"/>
      <c r="H38"/>
      <c r="I38"/>
      <c r="J38"/>
    </row>
    <row r="39" spans="6:10">
      <c r="F39"/>
      <c r="G39"/>
      <c r="H39"/>
      <c r="I39"/>
      <c r="J39"/>
    </row>
    <row r="40" spans="6:10">
      <c r="F40"/>
      <c r="G40"/>
      <c r="H40"/>
      <c r="I40"/>
      <c r="J40"/>
    </row>
    <row r="41" spans="6:10">
      <c r="F41"/>
      <c r="G41"/>
      <c r="H41"/>
      <c r="I41"/>
      <c r="J41"/>
    </row>
    <row r="42" spans="6:10">
      <c r="F42"/>
      <c r="G42"/>
      <c r="H42"/>
      <c r="I42"/>
      <c r="J42"/>
    </row>
    <row r="43" spans="6:10">
      <c r="F43"/>
      <c r="G43"/>
      <c r="H43"/>
      <c r="I43"/>
      <c r="J43"/>
    </row>
    <row r="44" spans="6:10">
      <c r="F44"/>
      <c r="G44"/>
      <c r="H44"/>
      <c r="I44"/>
      <c r="J44"/>
    </row>
    <row r="45" spans="6:10">
      <c r="F45"/>
      <c r="G45"/>
      <c r="H45"/>
      <c r="I45"/>
      <c r="J45"/>
    </row>
    <row r="46" spans="6:10">
      <c r="F46"/>
      <c r="G46"/>
      <c r="H46"/>
      <c r="I46"/>
      <c r="J46"/>
    </row>
    <row r="47" spans="6:10">
      <c r="F47"/>
      <c r="G47"/>
      <c r="H47"/>
      <c r="I47"/>
      <c r="J47"/>
    </row>
    <row r="48" spans="6:10">
      <c r="F48"/>
      <c r="G48"/>
      <c r="H48"/>
      <c r="I48"/>
      <c r="J48"/>
    </row>
    <row r="49" spans="6:10">
      <c r="F49"/>
      <c r="G49"/>
      <c r="H49"/>
      <c r="I49"/>
      <c r="J49"/>
    </row>
    <row r="50" spans="6:10">
      <c r="F50"/>
      <c r="G50"/>
      <c r="H50"/>
      <c r="I50"/>
      <c r="J50"/>
    </row>
    <row r="51" spans="6:10">
      <c r="F51"/>
      <c r="G51"/>
      <c r="H51"/>
      <c r="I51"/>
      <c r="J51"/>
    </row>
    <row r="52" spans="6:10">
      <c r="F52"/>
      <c r="G52"/>
      <c r="H52"/>
      <c r="I52"/>
      <c r="J52"/>
    </row>
    <row r="53" spans="6:10">
      <c r="F53"/>
      <c r="G53"/>
      <c r="H53"/>
      <c r="I53"/>
      <c r="J53"/>
    </row>
    <row r="54" spans="6:10">
      <c r="F54"/>
      <c r="G54"/>
      <c r="H54"/>
      <c r="I54"/>
      <c r="J54"/>
    </row>
    <row r="55" spans="6:10">
      <c r="F55"/>
      <c r="G55"/>
      <c r="H55"/>
      <c r="I55"/>
      <c r="J55"/>
    </row>
    <row r="56" spans="6:10">
      <c r="F56"/>
      <c r="G56"/>
      <c r="H56"/>
      <c r="I56"/>
      <c r="J56"/>
    </row>
  </sheetData>
  <sheetProtection pivotTables="0"/>
  <mergeCells count="1">
    <mergeCell ref="A1:G1"/>
  </mergeCells>
  <pageMargins left="0.7" right="0.7" top="0.75" bottom="0.75" header="0.3" footer="0.3"/>
  <drawing r:id="rId2"/>
  <legacyDrawing r:id="rId3"/>
  <extLst>
    <ext xmlns:x14="http://schemas.microsoft.com/office/spreadsheetml/2009/9/main" uri="{05C60535-1F16-4fd2-B633-F4F36F0B64E0}">
      <x14:sparklineGroups xmlns:xm="http://schemas.microsoft.com/office/excel/2006/main">
        <x14:sparklineGroup type="column" displayEmptyCellsAs="gap" xr2:uid="{07AE0FE5-12FB-4F8A-BF8F-4EC9261CC07B}">
          <x14:colorSeries rgb="FF376092"/>
          <x14:colorNegative rgb="FFD00000"/>
          <x14:colorAxis rgb="FF000000"/>
          <x14:colorMarkers rgb="FFD00000"/>
          <x14:colorFirst rgb="FFD00000"/>
          <x14:colorLast rgb="FFD00000"/>
          <x14:colorHigh rgb="FFD00000"/>
          <x14:colorLow rgb="FFD00000"/>
          <x14:sparklines>
            <x14:sparkline>
              <xm:f>'Unemployment Comparision'!G6:J6</xm:f>
              <xm:sqref>K6</xm:sqref>
            </x14:sparkline>
            <x14:sparkline>
              <xm:f>'Unemployment Comparision'!G7:J7</xm:f>
              <xm:sqref>K7</xm:sqref>
            </x14:sparkline>
            <x14:sparkline>
              <xm:f>'Unemployment Comparision'!G8:J8</xm:f>
              <xm:sqref>K8</xm:sqref>
            </x14:sparkline>
            <x14:sparkline>
              <xm:f>'Unemployment Comparision'!G9:J9</xm:f>
              <xm:sqref>K9</xm:sqref>
            </x14:sparkline>
            <x14:sparkline>
              <xm:f>'Unemployment Comparision'!G10:J10</xm:f>
              <xm:sqref>K10</xm:sqref>
            </x14:sparkline>
            <x14:sparkline>
              <xm:f>'Unemployment Comparision'!G11:J11</xm:f>
              <xm:sqref>K11</xm:sqref>
            </x14:sparkline>
            <x14:sparkline>
              <xm:f>'Unemployment Comparision'!G12:J12</xm:f>
              <xm:sqref>K12</xm:sqref>
            </x14:sparkline>
            <x14:sparkline>
              <xm:f>'Unemployment Comparision'!G13:J13</xm:f>
              <xm:sqref>K13</xm:sqref>
            </x14:sparkline>
            <x14:sparkline>
              <xm:f>'Unemployment Comparision'!G14:J14</xm:f>
              <xm:sqref>K14</xm:sqref>
            </x14:sparkline>
            <x14:sparkline>
              <xm:f>'Unemployment Comparision'!G15:J15</xm:f>
              <xm:sqref>K15</xm:sqref>
            </x14:sparkline>
            <x14:sparkline>
              <xm:f>'Unemployment Comparision'!G16:J16</xm:f>
              <xm:sqref>K16</xm:sqref>
            </x14:sparkline>
            <x14:sparkline>
              <xm:f>'Unemployment Comparision'!G17:J17</xm:f>
              <xm:sqref>K17</xm:sqref>
            </x14:sparkline>
            <x14:sparkline>
              <xm:f>'Unemployment Comparision'!G18:J18</xm:f>
              <xm:sqref>K18</xm:sqref>
            </x14:sparkline>
            <x14:sparkline>
              <xm:f>'Unemployment Comparision'!G19:J19</xm:f>
              <xm:sqref>K19</xm:sqref>
            </x14:sparkline>
            <x14:sparkline>
              <xm:f>'Unemployment Comparision'!G20:J20</xm:f>
              <xm:sqref>K20</xm:sqref>
            </x14:sparkline>
            <x14:sparkline>
              <xm:f>'Unemployment Comparision'!G21:J21</xm:f>
              <xm:sqref>K21</xm:sqref>
            </x14:sparkline>
            <x14:sparkline>
              <xm:f>'Unemployment Comparision'!G22:J22</xm:f>
              <xm:sqref>K22</xm:sqref>
            </x14:sparkline>
            <x14:sparkline>
              <xm:f>'Unemployment Comparision'!G23:J23</xm:f>
              <xm:sqref>K23</xm:sqref>
            </x14:sparkline>
            <x14:sparkline>
              <xm:f>'Unemployment Comparision'!G24:J24</xm:f>
              <xm:sqref>K24</xm:sqref>
            </x14:sparkline>
            <x14:sparkline>
              <xm:f>'Unemployment Comparision'!G25:J25</xm:f>
              <xm:sqref>K25</xm:sqref>
            </x14:sparkline>
            <x14:sparkline>
              <xm:f>'Unemployment Comparision'!G26:J26</xm:f>
              <xm:sqref>K26</xm:sqref>
            </x14:sparkline>
            <x14:sparkline>
              <xm:f>'Unemployment Comparision'!G27:J27</xm:f>
              <xm:sqref>K27</xm:sqref>
            </x14:sparkline>
            <x14:sparkline>
              <xm:f>'Unemployment Comparision'!G28:J28</xm:f>
              <xm:sqref>K28</xm:sqref>
            </x14:sparkline>
            <x14:sparkline>
              <xm:f>'Unemployment Comparision'!G29:J29</xm:f>
              <xm:sqref>K29</xm:sqref>
            </x14:sparkline>
            <x14:sparkline>
              <xm:f>'Unemployment Comparision'!G30:J30</xm:f>
              <xm:sqref>K30</xm:sqref>
            </x14:sparkline>
            <x14:sparkline>
              <xm:f>'Unemployment Comparision'!G31:J31</xm:f>
              <xm:sqref>K31</xm:sqref>
            </x14:sparkline>
            <x14:sparkline>
              <xm:f>'Unemployment Comparision'!G32:J32</xm:f>
              <xm:sqref>K32</xm:sqref>
            </x14:sparkline>
            <x14:sparkline>
              <xm:f>'Unemployment Comparision'!G33:J33</xm:f>
              <xm:sqref>K33</xm:sqref>
            </x14:sparkline>
            <x14:sparkline>
              <xm:f>'Unemployment Comparision'!G34:J34</xm:f>
              <xm:sqref>K34</xm:sqref>
            </x14:sparkline>
            <x14:sparkline>
              <xm:f>'Unemployment Comparision'!G35:J35</xm:f>
              <xm:sqref>K35</xm:sqref>
            </x14:sparkline>
            <x14:sparkline>
              <xm:f>'Unemployment Comparision'!G36:J36</xm:f>
              <xm:sqref>K36</xm:sqref>
            </x14:sparkline>
            <x14:sparkline>
              <xm:f>'Unemployment Comparision'!G37:J37</xm:f>
              <xm:sqref>K37</xm:sqref>
            </x14:sparkline>
            <x14:sparkline>
              <xm:f>'Unemployment Comparision'!G38:J38</xm:f>
              <xm:sqref>K38</xm:sqref>
            </x14:sparkline>
            <x14:sparkline>
              <xm:f>'Unemployment Comparision'!G39:J39</xm:f>
              <xm:sqref>K39</xm:sqref>
            </x14:sparkline>
            <x14:sparkline>
              <xm:f>'Unemployment Comparision'!G40:J40</xm:f>
              <xm:sqref>K40</xm:sqref>
            </x14:sparkline>
            <x14:sparkline>
              <xm:f>'Unemployment Comparision'!G41:J41</xm:f>
              <xm:sqref>K41</xm:sqref>
            </x14:sparkline>
            <x14:sparkline>
              <xm:f>'Unemployment Comparision'!G42:J42</xm:f>
              <xm:sqref>K42</xm:sqref>
            </x14:sparkline>
            <x14:sparkline>
              <xm:f>'Unemployment Comparision'!G43:J43</xm:f>
              <xm:sqref>K43</xm:sqref>
            </x14:sparkline>
            <x14:sparkline>
              <xm:f>'Unemployment Comparision'!G44:J44</xm:f>
              <xm:sqref>K44</xm:sqref>
            </x14:sparkline>
            <x14:sparkline>
              <xm:f>'Unemployment Comparision'!G45:J45</xm:f>
              <xm:sqref>K45</xm:sqref>
            </x14:sparkline>
            <x14:sparkline>
              <xm:f>'Unemployment Comparision'!G46:J46</xm:f>
              <xm:sqref>K46</xm:sqref>
            </x14:sparkline>
            <x14:sparkline>
              <xm:f>'Unemployment Comparision'!G47:J47</xm:f>
              <xm:sqref>K47</xm:sqref>
            </x14:sparkline>
            <x14:sparkline>
              <xm:f>'Unemployment Comparision'!G48:J48</xm:f>
              <xm:sqref>K48</xm:sqref>
            </x14:sparkline>
            <x14:sparkline>
              <xm:f>'Unemployment Comparision'!G49:J49</xm:f>
              <xm:sqref>K49</xm:sqref>
            </x14:sparkline>
            <x14:sparkline>
              <xm:f>'Unemployment Comparision'!G50:J50</xm:f>
              <xm:sqref>K50</xm:sqref>
            </x14:sparkline>
            <x14:sparkline>
              <xm:f>'Unemployment Comparision'!G51:J51</xm:f>
              <xm:sqref>K51</xm:sqref>
            </x14:sparkline>
            <x14:sparkline>
              <xm:f>'Unemployment Comparision'!G52:J52</xm:f>
              <xm:sqref>K52</xm:sqref>
            </x14:sparkline>
            <x14:sparkline>
              <xm:f>'Unemployment Comparision'!G53:J53</xm:f>
              <xm:sqref>K53</xm:sqref>
            </x14:sparkline>
            <x14:sparkline>
              <xm:f>'Unemployment Comparision'!G54:J54</xm:f>
              <xm:sqref>K54</xm:sqref>
            </x14:sparkline>
            <x14:sparkline>
              <xm:f>'Unemployment Comparision'!G55:J55</xm:f>
              <xm:sqref>K55</xm:sqref>
            </x14:sparkline>
            <x14:sparkline>
              <xm:f>'Unemployment Comparision'!G56:J56</xm:f>
              <xm:sqref>K56</xm:sqref>
            </x14:sparkline>
          </x14:sparklines>
        </x14:sparklineGroup>
      </x14:sparklineGroup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ED2C7-6F7D-9B4F-9ECF-D109BFD16088}">
  <sheetPr codeName="Sheet9">
    <tabColor theme="1" tint="0.34998626667073579"/>
  </sheetPr>
  <dimension ref="A1:J56"/>
  <sheetViews>
    <sheetView zoomScale="102" workbookViewId="0">
      <selection activeCell="I39" sqref="I39"/>
    </sheetView>
  </sheetViews>
  <sheetFormatPr baseColWidth="10" defaultColWidth="11" defaultRowHeight="16"/>
  <cols>
    <col min="1" max="1" width="6.83203125" bestFit="1" customWidth="1"/>
    <col min="2" max="2" width="18" bestFit="1" customWidth="1"/>
    <col min="3" max="6" width="21.83203125" bestFit="1" customWidth="1"/>
  </cols>
  <sheetData>
    <row r="1" spans="1:10" ht="29">
      <c r="A1" s="107" t="s">
        <v>105</v>
      </c>
      <c r="B1" s="107"/>
      <c r="C1" s="107"/>
      <c r="D1" s="107"/>
      <c r="E1" s="107"/>
      <c r="F1" s="107"/>
      <c r="G1" s="107"/>
    </row>
    <row r="2" spans="1:10">
      <c r="B2" s="8"/>
      <c r="C2" s="8"/>
      <c r="D2" s="8"/>
      <c r="E2" s="8"/>
      <c r="F2" s="8"/>
      <c r="G2" s="8"/>
      <c r="H2" s="8"/>
    </row>
    <row r="4" spans="1:10">
      <c r="B4" t="s">
        <v>0</v>
      </c>
      <c r="C4" t="s">
        <v>101</v>
      </c>
      <c r="D4" t="s">
        <v>102</v>
      </c>
      <c r="E4" t="s">
        <v>103</v>
      </c>
      <c r="F4" t="s">
        <v>104</v>
      </c>
    </row>
    <row r="5" spans="1:10">
      <c r="B5" s="21" t="s">
        <v>10</v>
      </c>
      <c r="C5" s="22">
        <v>5031864</v>
      </c>
      <c r="D5" s="22">
        <v>5050380</v>
      </c>
      <c r="E5" s="22">
        <v>5073903</v>
      </c>
      <c r="F5" s="22">
        <v>5108468</v>
      </c>
    </row>
    <row r="6" spans="1:10">
      <c r="B6" s="21" t="s">
        <v>51</v>
      </c>
      <c r="C6" s="22">
        <v>732964</v>
      </c>
      <c r="D6" s="22">
        <v>734923</v>
      </c>
      <c r="E6" s="22">
        <v>733276</v>
      </c>
      <c r="F6" s="22">
        <v>733406</v>
      </c>
    </row>
    <row r="7" spans="1:10">
      <c r="B7" t="s">
        <v>41</v>
      </c>
      <c r="C7" s="22">
        <v>7186683</v>
      </c>
      <c r="D7" s="22">
        <v>7272487</v>
      </c>
      <c r="E7" s="22">
        <v>7365684</v>
      </c>
      <c r="F7" s="22">
        <v>7431344</v>
      </c>
    </row>
    <row r="8" spans="1:10">
      <c r="B8" t="s">
        <v>12</v>
      </c>
      <c r="C8" s="22">
        <v>3014348</v>
      </c>
      <c r="D8" s="22">
        <v>3028443</v>
      </c>
      <c r="E8" s="22">
        <v>3046404</v>
      </c>
      <c r="F8" s="22">
        <v>3067732</v>
      </c>
    </row>
    <row r="9" spans="1:10">
      <c r="B9" t="s">
        <v>53</v>
      </c>
      <c r="C9" s="22">
        <v>39503200</v>
      </c>
      <c r="D9" s="22">
        <v>39145060</v>
      </c>
      <c r="E9" s="22">
        <v>39040616</v>
      </c>
      <c r="F9" s="22">
        <v>38965193</v>
      </c>
    </row>
    <row r="10" spans="1:10">
      <c r="B10" t="s">
        <v>40</v>
      </c>
      <c r="C10" s="22">
        <v>5785219</v>
      </c>
      <c r="D10" s="22">
        <v>5811596</v>
      </c>
      <c r="E10" s="22">
        <v>5841039</v>
      </c>
      <c r="F10" s="22">
        <v>5877610</v>
      </c>
      <c r="J10" s="5"/>
    </row>
    <row r="11" spans="1:10">
      <c r="B11" t="s">
        <v>44</v>
      </c>
      <c r="C11" s="22">
        <v>3577586</v>
      </c>
      <c r="D11" s="22">
        <v>3603691</v>
      </c>
      <c r="E11" s="22">
        <v>3608706</v>
      </c>
      <c r="F11" s="22">
        <v>3617176</v>
      </c>
    </row>
    <row r="12" spans="1:10">
      <c r="B12" t="s">
        <v>36</v>
      </c>
      <c r="C12" s="22">
        <v>991862</v>
      </c>
      <c r="D12" s="22">
        <v>1004881</v>
      </c>
      <c r="E12" s="22">
        <v>1019459</v>
      </c>
      <c r="F12" s="22">
        <v>1031890</v>
      </c>
    </row>
    <row r="13" spans="1:10">
      <c r="B13" t="s">
        <v>55</v>
      </c>
      <c r="C13" s="22">
        <v>670839</v>
      </c>
      <c r="D13" s="22">
        <v>669037</v>
      </c>
      <c r="E13" s="22">
        <v>670949</v>
      </c>
      <c r="F13" s="22">
        <v>678972</v>
      </c>
    </row>
    <row r="14" spans="1:10">
      <c r="B14" t="s">
        <v>34</v>
      </c>
      <c r="C14" s="22">
        <v>21591299</v>
      </c>
      <c r="D14" s="22">
        <v>21830708</v>
      </c>
      <c r="E14" s="22">
        <v>22245521</v>
      </c>
      <c r="F14" s="22">
        <v>22610726</v>
      </c>
    </row>
    <row r="15" spans="1:10">
      <c r="B15" t="s">
        <v>16</v>
      </c>
      <c r="C15" s="22">
        <v>10732390</v>
      </c>
      <c r="D15" s="22">
        <v>10790385</v>
      </c>
      <c r="E15" s="22">
        <v>10913150</v>
      </c>
      <c r="F15" s="22">
        <v>11029227</v>
      </c>
    </row>
    <row r="16" spans="1:10">
      <c r="B16" t="s">
        <v>56</v>
      </c>
      <c r="C16" s="22">
        <v>1451181</v>
      </c>
      <c r="D16" s="22">
        <v>1446745</v>
      </c>
      <c r="E16" s="22">
        <v>1439399</v>
      </c>
      <c r="F16" s="22">
        <v>1435138</v>
      </c>
    </row>
    <row r="17" spans="2:6">
      <c r="B17" t="s">
        <v>33</v>
      </c>
      <c r="C17" s="22">
        <v>1849339</v>
      </c>
      <c r="D17" s="22">
        <v>1904537</v>
      </c>
      <c r="E17" s="22">
        <v>1938996</v>
      </c>
      <c r="F17" s="22">
        <v>1964726</v>
      </c>
    </row>
    <row r="18" spans="2:6">
      <c r="B18" t="s">
        <v>21</v>
      </c>
      <c r="C18" s="22">
        <v>12790357</v>
      </c>
      <c r="D18" s="22">
        <v>12690341</v>
      </c>
      <c r="E18" s="22">
        <v>12582515</v>
      </c>
      <c r="F18" s="22">
        <v>12549689</v>
      </c>
    </row>
    <row r="19" spans="2:6">
      <c r="B19" t="s">
        <v>19</v>
      </c>
      <c r="C19" s="22">
        <v>6789098</v>
      </c>
      <c r="D19" s="22">
        <v>6813798</v>
      </c>
      <c r="E19" s="22">
        <v>6832274</v>
      </c>
      <c r="F19" s="22">
        <v>6862199</v>
      </c>
    </row>
    <row r="20" spans="2:6">
      <c r="B20" t="s">
        <v>14</v>
      </c>
      <c r="C20" s="22">
        <v>3190904</v>
      </c>
      <c r="D20" s="22">
        <v>3197944</v>
      </c>
      <c r="E20" s="22">
        <v>3199693</v>
      </c>
      <c r="F20" s="22">
        <v>3207004</v>
      </c>
    </row>
    <row r="21" spans="2:6">
      <c r="B21" t="s">
        <v>8</v>
      </c>
      <c r="C21" s="22">
        <v>2938124</v>
      </c>
      <c r="D21" s="22">
        <v>2937946</v>
      </c>
      <c r="E21" s="22">
        <v>2936716</v>
      </c>
      <c r="F21" s="22">
        <v>2940546</v>
      </c>
    </row>
    <row r="22" spans="2:6">
      <c r="B22" t="s">
        <v>20</v>
      </c>
      <c r="C22" s="22">
        <v>4508155</v>
      </c>
      <c r="D22" s="22">
        <v>4507600</v>
      </c>
      <c r="E22" s="22">
        <v>4511563</v>
      </c>
      <c r="F22" s="22">
        <v>4526154</v>
      </c>
    </row>
    <row r="23" spans="2:6">
      <c r="B23" t="s">
        <v>18</v>
      </c>
      <c r="C23" s="22">
        <v>4652022</v>
      </c>
      <c r="D23" s="22">
        <v>4627047</v>
      </c>
      <c r="E23" s="22">
        <v>4588023</v>
      </c>
      <c r="F23" s="22">
        <v>4573749</v>
      </c>
    </row>
    <row r="24" spans="2:6">
      <c r="B24" t="s">
        <v>42</v>
      </c>
      <c r="C24" s="22">
        <v>1364517</v>
      </c>
      <c r="D24" s="22">
        <v>1378787</v>
      </c>
      <c r="E24" s="22">
        <v>1389338</v>
      </c>
      <c r="F24" s="22">
        <v>1395722</v>
      </c>
    </row>
    <row r="25" spans="2:6">
      <c r="B25" t="s">
        <v>50</v>
      </c>
      <c r="C25" s="22">
        <v>6173689</v>
      </c>
      <c r="D25" s="22">
        <v>6175045</v>
      </c>
      <c r="E25" s="22">
        <v>6163981</v>
      </c>
      <c r="F25" s="22">
        <v>6180253</v>
      </c>
    </row>
    <row r="26" spans="2:6">
      <c r="B26" t="s">
        <v>54</v>
      </c>
      <c r="C26" s="22">
        <v>6997713</v>
      </c>
      <c r="D26" s="22">
        <v>6991951</v>
      </c>
      <c r="E26" s="22">
        <v>6982740</v>
      </c>
      <c r="F26" s="22">
        <v>7001399</v>
      </c>
    </row>
    <row r="27" spans="2:6">
      <c r="B27" t="s">
        <v>15</v>
      </c>
      <c r="C27" s="22">
        <v>10070627</v>
      </c>
      <c r="D27" s="22">
        <v>10038117</v>
      </c>
      <c r="E27" s="22">
        <v>10033281</v>
      </c>
      <c r="F27" s="22">
        <v>10037261</v>
      </c>
    </row>
    <row r="28" spans="2:6">
      <c r="B28" t="s">
        <v>26</v>
      </c>
      <c r="C28" s="22">
        <v>5710578</v>
      </c>
      <c r="D28" s="22">
        <v>5717968</v>
      </c>
      <c r="E28" s="22">
        <v>5714300</v>
      </c>
      <c r="F28" s="22">
        <v>5737915</v>
      </c>
    </row>
    <row r="29" spans="2:6">
      <c r="B29" t="s">
        <v>7</v>
      </c>
      <c r="C29" s="22">
        <v>2958409</v>
      </c>
      <c r="D29" s="22">
        <v>2949582</v>
      </c>
      <c r="E29" s="22">
        <v>2938928</v>
      </c>
      <c r="F29" s="22">
        <v>2939690</v>
      </c>
    </row>
    <row r="30" spans="2:6">
      <c r="B30" t="s">
        <v>11</v>
      </c>
      <c r="C30" s="22">
        <v>6154426</v>
      </c>
      <c r="D30" s="22">
        <v>6170393</v>
      </c>
      <c r="E30" s="22">
        <v>6177168</v>
      </c>
      <c r="F30" s="22">
        <v>6196156</v>
      </c>
    </row>
    <row r="31" spans="2:6">
      <c r="B31" t="s">
        <v>38</v>
      </c>
      <c r="C31" s="22">
        <v>1087211</v>
      </c>
      <c r="D31" s="22">
        <v>1106366</v>
      </c>
      <c r="E31" s="22">
        <v>1122878</v>
      </c>
      <c r="F31" s="22">
        <v>1132812</v>
      </c>
    </row>
    <row r="32" spans="2:6">
      <c r="B32" t="s">
        <v>17</v>
      </c>
      <c r="C32" s="22">
        <v>1963273</v>
      </c>
      <c r="D32" s="22">
        <v>1964253</v>
      </c>
      <c r="E32" s="22">
        <v>1968060</v>
      </c>
      <c r="F32" s="22">
        <v>1978379</v>
      </c>
    </row>
    <row r="33" spans="2:6">
      <c r="B33" t="s">
        <v>35</v>
      </c>
      <c r="C33" s="22">
        <v>3115840</v>
      </c>
      <c r="D33" s="22">
        <v>3146632</v>
      </c>
      <c r="E33" s="22">
        <v>3177421</v>
      </c>
      <c r="F33" s="22">
        <v>3194176</v>
      </c>
    </row>
    <row r="34" spans="2:6">
      <c r="B34" t="s">
        <v>46</v>
      </c>
      <c r="C34" s="22">
        <v>1378702</v>
      </c>
      <c r="D34" s="22">
        <v>1387494</v>
      </c>
      <c r="E34" s="22">
        <v>1399003</v>
      </c>
      <c r="F34" s="22">
        <v>1402054</v>
      </c>
    </row>
    <row r="35" spans="2:6">
      <c r="B35" t="s">
        <v>45</v>
      </c>
      <c r="C35" s="22">
        <v>9272392</v>
      </c>
      <c r="D35" s="22">
        <v>9269175</v>
      </c>
      <c r="E35" s="22">
        <v>9260817</v>
      </c>
      <c r="F35" s="22">
        <v>9290841</v>
      </c>
    </row>
    <row r="36" spans="2:6">
      <c r="B36" t="s">
        <v>25</v>
      </c>
      <c r="C36" s="22">
        <v>2118488</v>
      </c>
      <c r="D36" s="22">
        <v>2116950</v>
      </c>
      <c r="E36" s="22">
        <v>2113476</v>
      </c>
      <c r="F36" s="22">
        <v>2114371</v>
      </c>
    </row>
    <row r="37" spans="2:6">
      <c r="B37" t="s">
        <v>52</v>
      </c>
      <c r="C37" s="22">
        <v>20104710</v>
      </c>
      <c r="D37" s="22">
        <v>19854526</v>
      </c>
      <c r="E37" s="22">
        <v>19673200</v>
      </c>
      <c r="F37" s="22">
        <v>19571216</v>
      </c>
    </row>
    <row r="38" spans="2:6">
      <c r="B38" t="s">
        <v>31</v>
      </c>
      <c r="C38" s="22">
        <v>10453812</v>
      </c>
      <c r="D38" s="22">
        <v>10567100</v>
      </c>
      <c r="E38" s="22">
        <v>10695965</v>
      </c>
      <c r="F38" s="22">
        <v>10835491</v>
      </c>
    </row>
    <row r="39" spans="2:6">
      <c r="B39" t="s">
        <v>27</v>
      </c>
      <c r="C39" s="22">
        <v>779563</v>
      </c>
      <c r="D39" s="22">
        <v>777982</v>
      </c>
      <c r="E39" s="22">
        <v>778912</v>
      </c>
      <c r="F39" s="22">
        <v>783926</v>
      </c>
    </row>
    <row r="40" spans="2:6">
      <c r="B40" t="s">
        <v>28</v>
      </c>
      <c r="C40" s="22">
        <v>11798292</v>
      </c>
      <c r="D40" s="22">
        <v>11765227</v>
      </c>
      <c r="E40" s="22">
        <v>11759697</v>
      </c>
      <c r="F40" s="22">
        <v>11785935</v>
      </c>
    </row>
    <row r="41" spans="2:6">
      <c r="B41" t="s">
        <v>6</v>
      </c>
      <c r="C41" s="22">
        <v>3965234</v>
      </c>
      <c r="D41" s="22">
        <v>3991634</v>
      </c>
      <c r="E41" s="22">
        <v>4019271</v>
      </c>
      <c r="F41" s="22">
        <v>4053824</v>
      </c>
    </row>
    <row r="42" spans="2:6">
      <c r="B42" t="s">
        <v>47</v>
      </c>
      <c r="C42" s="22">
        <v>4245044</v>
      </c>
      <c r="D42" s="22">
        <v>4256465</v>
      </c>
      <c r="E42" s="22">
        <v>4239379</v>
      </c>
      <c r="F42" s="22">
        <v>4233358</v>
      </c>
    </row>
    <row r="43" spans="2:6">
      <c r="B43" t="s">
        <v>32</v>
      </c>
      <c r="C43" s="22">
        <v>12995477</v>
      </c>
      <c r="D43" s="22">
        <v>13013614</v>
      </c>
      <c r="E43" s="22">
        <v>12972091</v>
      </c>
      <c r="F43" s="22">
        <v>12961683</v>
      </c>
    </row>
    <row r="44" spans="2:6">
      <c r="B44" t="s">
        <v>43</v>
      </c>
      <c r="C44" s="22">
        <v>1096444</v>
      </c>
      <c r="D44" s="22">
        <v>1097092</v>
      </c>
      <c r="E44" s="22">
        <v>1093842</v>
      </c>
      <c r="F44" s="22">
        <v>1095962</v>
      </c>
    </row>
    <row r="45" spans="2:6">
      <c r="B45" t="s">
        <v>30</v>
      </c>
      <c r="C45" s="22">
        <v>5132151</v>
      </c>
      <c r="D45" s="22">
        <v>5193848</v>
      </c>
      <c r="E45" s="22">
        <v>5282955</v>
      </c>
      <c r="F45" s="22">
        <v>5373555</v>
      </c>
    </row>
    <row r="46" spans="2:6">
      <c r="B46" t="s">
        <v>22</v>
      </c>
      <c r="C46" s="22">
        <v>887852</v>
      </c>
      <c r="D46" s="22">
        <v>896299</v>
      </c>
      <c r="E46" s="22">
        <v>909869</v>
      </c>
      <c r="F46" s="22">
        <v>919318</v>
      </c>
    </row>
    <row r="47" spans="2:6">
      <c r="B47" t="s">
        <v>13</v>
      </c>
      <c r="C47" s="22">
        <v>6926091</v>
      </c>
      <c r="D47" s="22">
        <v>6963709</v>
      </c>
      <c r="E47" s="22">
        <v>7048976</v>
      </c>
      <c r="F47" s="22">
        <v>7126489</v>
      </c>
    </row>
    <row r="48" spans="2:6">
      <c r="B48" t="s">
        <v>24</v>
      </c>
      <c r="C48" s="22">
        <v>29234361</v>
      </c>
      <c r="D48" s="22">
        <v>29561286</v>
      </c>
      <c r="E48" s="22">
        <v>30029848</v>
      </c>
      <c r="F48" s="22">
        <v>30503301</v>
      </c>
    </row>
    <row r="49" spans="1:6">
      <c r="B49" t="s">
        <v>39</v>
      </c>
      <c r="C49" s="22">
        <v>3283982</v>
      </c>
      <c r="D49" s="22">
        <v>3339284</v>
      </c>
      <c r="E49" s="22">
        <v>3381236</v>
      </c>
      <c r="F49" s="22">
        <v>3417734</v>
      </c>
    </row>
    <row r="50" spans="1:6">
      <c r="B50" t="s">
        <v>48</v>
      </c>
      <c r="C50" s="22">
        <v>642936</v>
      </c>
      <c r="D50" s="22">
        <v>647093</v>
      </c>
      <c r="E50" s="22">
        <v>647110</v>
      </c>
      <c r="F50" s="22">
        <v>647464</v>
      </c>
    </row>
    <row r="51" spans="1:6">
      <c r="B51" t="s">
        <v>37</v>
      </c>
      <c r="C51" s="22">
        <v>8637193</v>
      </c>
      <c r="D51" s="22">
        <v>8657348</v>
      </c>
      <c r="E51" s="22">
        <v>8679099</v>
      </c>
      <c r="F51" s="22">
        <v>8715698</v>
      </c>
    </row>
    <row r="52" spans="1:6">
      <c r="B52" t="s">
        <v>49</v>
      </c>
      <c r="C52" s="22">
        <v>7724566</v>
      </c>
      <c r="D52" s="22">
        <v>7741433</v>
      </c>
      <c r="E52" s="22">
        <v>7784477</v>
      </c>
      <c r="F52" s="22">
        <v>7812880</v>
      </c>
    </row>
    <row r="53" spans="1:6">
      <c r="B53" t="s">
        <v>9</v>
      </c>
      <c r="C53" s="22">
        <v>1791562</v>
      </c>
      <c r="D53" s="22">
        <v>1785249</v>
      </c>
      <c r="E53" s="22">
        <v>1774035</v>
      </c>
      <c r="F53" s="22">
        <v>1770071</v>
      </c>
    </row>
    <row r="54" spans="1:6">
      <c r="B54" t="s">
        <v>29</v>
      </c>
      <c r="C54" s="22">
        <v>5896700</v>
      </c>
      <c r="D54" s="22">
        <v>5879978</v>
      </c>
      <c r="E54" s="22">
        <v>5890543</v>
      </c>
      <c r="F54" s="22">
        <v>5910955</v>
      </c>
    </row>
    <row r="55" spans="1:6">
      <c r="B55" t="s">
        <v>23</v>
      </c>
      <c r="C55" s="22">
        <v>577664</v>
      </c>
      <c r="D55" s="22">
        <v>579548</v>
      </c>
      <c r="E55" s="22">
        <v>581629</v>
      </c>
      <c r="F55" s="22">
        <v>584057</v>
      </c>
    </row>
    <row r="56" spans="1:6">
      <c r="A56" s="13"/>
      <c r="B56" s="7"/>
      <c r="C56" s="7"/>
      <c r="D56" s="7"/>
      <c r="E56" s="7"/>
    </row>
  </sheetData>
  <sheetProtection sheet="1" objects="1" scenarios="1" sort="0"/>
  <mergeCells count="1">
    <mergeCell ref="A1:G1"/>
  </mergeCells>
  <pageMargins left="0.7" right="0.7" top="0.75" bottom="0.75" header="0.3" footer="0.3"/>
  <pageSetup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EF06-BD97-8A47-B0D9-F32AFA668810}">
  <sheetPr codeName="Sheet3">
    <tabColor theme="1" tint="0.34998626667073579"/>
  </sheetPr>
  <dimension ref="A1:L56"/>
  <sheetViews>
    <sheetView zoomScale="75" zoomScaleNormal="120" workbookViewId="0">
      <selection activeCell="I39" sqref="I39"/>
    </sheetView>
  </sheetViews>
  <sheetFormatPr baseColWidth="10" defaultColWidth="11" defaultRowHeight="16"/>
  <cols>
    <col min="1" max="1" width="6.83203125" bestFit="1" customWidth="1"/>
    <col min="2" max="2" width="19" bestFit="1" customWidth="1"/>
    <col min="3" max="3" width="15.1640625" bestFit="1" customWidth="1"/>
    <col min="4" max="4" width="15.83203125" bestFit="1" customWidth="1"/>
    <col min="5" max="5" width="22.6640625" bestFit="1" customWidth="1"/>
    <col min="6" max="6" width="15.83203125" bestFit="1" customWidth="1"/>
    <col min="7" max="7" width="14.83203125" bestFit="1" customWidth="1"/>
    <col min="8" max="8" width="23.33203125" bestFit="1" customWidth="1"/>
    <col min="9" max="9" width="15.5" customWidth="1"/>
    <col min="11" max="11" width="14.33203125" customWidth="1"/>
    <col min="14" max="14" width="16.33203125" customWidth="1"/>
  </cols>
  <sheetData>
    <row r="1" spans="1:12" s="9" customFormat="1" ht="24">
      <c r="A1" s="108" t="s">
        <v>57</v>
      </c>
      <c r="B1" s="108"/>
      <c r="C1" s="108"/>
      <c r="D1" s="108"/>
      <c r="E1" s="108"/>
      <c r="F1" s="108"/>
      <c r="G1" s="108"/>
      <c r="H1" s="108"/>
      <c r="I1" s="108"/>
      <c r="J1" s="108"/>
      <c r="K1" s="108"/>
      <c r="L1" s="24"/>
    </row>
    <row r="2" spans="1:12">
      <c r="A2" s="1"/>
      <c r="B2" s="6"/>
      <c r="C2" s="6"/>
      <c r="D2" s="6"/>
      <c r="E2" s="6"/>
      <c r="F2" s="6"/>
      <c r="G2" s="6"/>
      <c r="H2" s="6"/>
      <c r="I2" s="6"/>
    </row>
    <row r="4" spans="1:12" ht="18">
      <c r="B4" s="15" t="s">
        <v>0</v>
      </c>
      <c r="C4" s="15" t="s">
        <v>117</v>
      </c>
      <c r="D4" s="15" t="s">
        <v>118</v>
      </c>
      <c r="E4" s="15" t="s">
        <v>1</v>
      </c>
      <c r="F4" s="15" t="s">
        <v>2</v>
      </c>
      <c r="G4" s="15" t="s">
        <v>3</v>
      </c>
      <c r="H4" s="15" t="s">
        <v>4</v>
      </c>
      <c r="I4" s="15" t="s">
        <v>5</v>
      </c>
      <c r="J4" s="15" t="s">
        <v>119</v>
      </c>
    </row>
    <row r="5" spans="1:12">
      <c r="B5" s="11" t="s">
        <v>10</v>
      </c>
      <c r="C5" s="26">
        <v>5</v>
      </c>
      <c r="D5" s="12">
        <v>88.3</v>
      </c>
      <c r="E5" s="12">
        <v>96.1</v>
      </c>
      <c r="F5" s="12">
        <v>70</v>
      </c>
      <c r="G5" s="12">
        <v>102.4</v>
      </c>
      <c r="H5" s="12">
        <v>90.8</v>
      </c>
      <c r="I5" s="12">
        <v>87</v>
      </c>
      <c r="J5" s="12">
        <v>95.8</v>
      </c>
    </row>
    <row r="6" spans="1:12">
      <c r="B6" s="11" t="s">
        <v>51</v>
      </c>
      <c r="C6" s="26">
        <v>46</v>
      </c>
      <c r="D6" s="12">
        <v>125.2</v>
      </c>
      <c r="E6" s="12">
        <v>123.5</v>
      </c>
      <c r="F6" s="12">
        <v>122.5</v>
      </c>
      <c r="G6" s="12">
        <v>157.9</v>
      </c>
      <c r="H6" s="12">
        <v>115.3</v>
      </c>
      <c r="I6" s="12">
        <v>148.1</v>
      </c>
      <c r="J6" s="12">
        <v>119.7</v>
      </c>
    </row>
    <row r="7" spans="1:12">
      <c r="B7" s="11" t="s">
        <v>41</v>
      </c>
      <c r="C7" s="26">
        <v>36</v>
      </c>
      <c r="D7" s="12">
        <v>108.4</v>
      </c>
      <c r="E7" s="12">
        <v>102.2</v>
      </c>
      <c r="F7" s="12">
        <v>124.1</v>
      </c>
      <c r="G7" s="12">
        <v>95.3</v>
      </c>
      <c r="H7" s="12">
        <v>106.1</v>
      </c>
      <c r="I7" s="12">
        <v>93.8</v>
      </c>
      <c r="J7" s="12">
        <v>104.1</v>
      </c>
    </row>
    <row r="8" spans="1:12">
      <c r="B8" s="11" t="s">
        <v>12</v>
      </c>
      <c r="C8" s="26">
        <v>7</v>
      </c>
      <c r="D8" s="12">
        <v>89</v>
      </c>
      <c r="E8" s="12">
        <v>95.3</v>
      </c>
      <c r="F8" s="12">
        <v>74.599999999999994</v>
      </c>
      <c r="G8" s="12">
        <v>91.6</v>
      </c>
      <c r="H8" s="12">
        <v>89.6</v>
      </c>
      <c r="I8" s="12">
        <v>87.5</v>
      </c>
      <c r="J8" s="12">
        <v>97.7</v>
      </c>
    </row>
    <row r="9" spans="1:12">
      <c r="B9" s="11" t="s">
        <v>53</v>
      </c>
      <c r="C9" s="26">
        <v>48</v>
      </c>
      <c r="D9" s="12">
        <v>138.5</v>
      </c>
      <c r="E9" s="12">
        <v>112</v>
      </c>
      <c r="F9" s="12">
        <v>198.8</v>
      </c>
      <c r="G9" s="12">
        <v>126.8</v>
      </c>
      <c r="H9" s="12">
        <v>125.6</v>
      </c>
      <c r="I9" s="12">
        <v>108.5</v>
      </c>
      <c r="J9" s="12">
        <v>110.8</v>
      </c>
    </row>
    <row r="10" spans="1:12">
      <c r="B10" s="11" t="s">
        <v>40</v>
      </c>
      <c r="C10" s="26">
        <v>35</v>
      </c>
      <c r="D10" s="12">
        <v>105.1</v>
      </c>
      <c r="E10" s="12">
        <v>101.4</v>
      </c>
      <c r="F10" s="12">
        <v>113.6</v>
      </c>
      <c r="G10" s="12">
        <v>91.3</v>
      </c>
      <c r="H10" s="12">
        <v>105.2</v>
      </c>
      <c r="I10" s="12">
        <v>100.4</v>
      </c>
      <c r="J10" s="12">
        <v>103.8</v>
      </c>
    </row>
    <row r="11" spans="1:12">
      <c r="B11" s="11" t="s">
        <v>44</v>
      </c>
      <c r="C11" s="26">
        <v>39</v>
      </c>
      <c r="D11" s="12">
        <v>112.8</v>
      </c>
      <c r="E11" s="12">
        <v>101.7</v>
      </c>
      <c r="F11" s="12">
        <v>122.6</v>
      </c>
      <c r="G11" s="12">
        <v>130.4</v>
      </c>
      <c r="H11" s="12">
        <v>100.4</v>
      </c>
      <c r="I11" s="12">
        <v>108.7</v>
      </c>
      <c r="J11" s="12">
        <v>109.5</v>
      </c>
    </row>
    <row r="12" spans="1:12">
      <c r="B12" s="11" t="s">
        <v>36</v>
      </c>
      <c r="C12" s="26">
        <v>31</v>
      </c>
      <c r="D12" s="12">
        <v>101.1</v>
      </c>
      <c r="E12" s="12">
        <v>102</v>
      </c>
      <c r="F12" s="12">
        <v>97</v>
      </c>
      <c r="G12" s="12">
        <v>97.9</v>
      </c>
      <c r="H12" s="12">
        <v>102.1</v>
      </c>
      <c r="I12" s="12">
        <v>103.2</v>
      </c>
      <c r="J12" s="12">
        <v>104.5</v>
      </c>
    </row>
    <row r="13" spans="1:12">
      <c r="B13" s="11" t="s">
        <v>55</v>
      </c>
      <c r="C13" s="26">
        <v>50</v>
      </c>
      <c r="D13" s="12">
        <v>146.80000000000001</v>
      </c>
      <c r="E13" s="12">
        <v>105.4</v>
      </c>
      <c r="F13" s="12">
        <v>237.7</v>
      </c>
      <c r="G13" s="12">
        <v>110.6</v>
      </c>
      <c r="H13" s="12">
        <v>105.5</v>
      </c>
      <c r="I13" s="12">
        <v>110</v>
      </c>
      <c r="J13" s="12">
        <v>116.6</v>
      </c>
    </row>
    <row r="14" spans="1:12">
      <c r="B14" s="11" t="s">
        <v>34</v>
      </c>
      <c r="C14" s="26">
        <v>29</v>
      </c>
      <c r="D14" s="12">
        <v>100.7</v>
      </c>
      <c r="E14" s="12">
        <v>99.5</v>
      </c>
      <c r="F14" s="12">
        <v>106.3</v>
      </c>
      <c r="G14" s="12">
        <v>97.3</v>
      </c>
      <c r="H14" s="12">
        <v>99.3</v>
      </c>
      <c r="I14" s="12">
        <v>96.5</v>
      </c>
      <c r="J14" s="12">
        <v>98.4</v>
      </c>
    </row>
    <row r="15" spans="1:12">
      <c r="B15" s="11" t="s">
        <v>16</v>
      </c>
      <c r="C15" s="26">
        <v>11</v>
      </c>
      <c r="D15" s="12">
        <v>90.8</v>
      </c>
      <c r="E15" s="12">
        <v>98.1</v>
      </c>
      <c r="F15" s="12">
        <v>78.2</v>
      </c>
      <c r="G15" s="12">
        <v>85.5</v>
      </c>
      <c r="H15" s="12">
        <v>93.5</v>
      </c>
      <c r="I15" s="12">
        <v>100.3</v>
      </c>
      <c r="J15" s="12">
        <v>97.3</v>
      </c>
    </row>
    <row r="16" spans="1:12">
      <c r="B16" s="11" t="s">
        <v>56</v>
      </c>
      <c r="C16" s="26">
        <v>51</v>
      </c>
      <c r="D16" s="12">
        <v>180.3</v>
      </c>
      <c r="E16" s="12">
        <v>116.7</v>
      </c>
      <c r="F16" s="12">
        <v>313.10000000000002</v>
      </c>
      <c r="G16" s="12">
        <v>151.30000000000001</v>
      </c>
      <c r="H16" s="12">
        <v>135</v>
      </c>
      <c r="I16" s="12">
        <v>123.1</v>
      </c>
      <c r="J16" s="12">
        <v>126.8</v>
      </c>
    </row>
    <row r="17" spans="2:10">
      <c r="B17" s="11" t="s">
        <v>33</v>
      </c>
      <c r="C17" s="26">
        <v>28</v>
      </c>
      <c r="D17" s="12">
        <v>98.6</v>
      </c>
      <c r="E17" s="12">
        <v>101</v>
      </c>
      <c r="F17" s="12">
        <v>96</v>
      </c>
      <c r="G17" s="12">
        <v>85.7</v>
      </c>
      <c r="H17" s="12">
        <v>105.2</v>
      </c>
      <c r="I17" s="12">
        <v>98.9</v>
      </c>
      <c r="J17" s="12">
        <v>101</v>
      </c>
    </row>
    <row r="18" spans="2:10">
      <c r="B18" s="11" t="s">
        <v>21</v>
      </c>
      <c r="C18" s="26">
        <v>16</v>
      </c>
      <c r="D18" s="12">
        <v>92.1</v>
      </c>
      <c r="E18" s="12">
        <v>98</v>
      </c>
      <c r="F18" s="12">
        <v>79.8</v>
      </c>
      <c r="G18" s="12">
        <v>88.6</v>
      </c>
      <c r="H18" s="12">
        <v>103</v>
      </c>
      <c r="I18" s="12">
        <v>95</v>
      </c>
      <c r="J18" s="12">
        <v>96.8</v>
      </c>
    </row>
    <row r="19" spans="2:10">
      <c r="B19" s="11" t="s">
        <v>19</v>
      </c>
      <c r="C19" s="26">
        <v>14</v>
      </c>
      <c r="D19" s="12">
        <v>91</v>
      </c>
      <c r="E19" s="12">
        <v>98.5</v>
      </c>
      <c r="F19" s="12">
        <v>75.8</v>
      </c>
      <c r="G19" s="12">
        <v>106.7</v>
      </c>
      <c r="H19" s="12">
        <v>95.4</v>
      </c>
      <c r="I19" s="12">
        <v>96.4</v>
      </c>
      <c r="J19" s="12">
        <v>94.4</v>
      </c>
    </row>
    <row r="20" spans="2:10">
      <c r="B20" s="11" t="s">
        <v>14</v>
      </c>
      <c r="C20" s="26">
        <v>9</v>
      </c>
      <c r="D20" s="12">
        <v>90.3</v>
      </c>
      <c r="E20" s="12">
        <v>96.6</v>
      </c>
      <c r="F20" s="12">
        <v>74.099999999999994</v>
      </c>
      <c r="G20" s="12">
        <v>95.5</v>
      </c>
      <c r="H20" s="12">
        <v>98.6</v>
      </c>
      <c r="I20" s="12">
        <v>99.4</v>
      </c>
      <c r="J20" s="12">
        <v>95.9</v>
      </c>
    </row>
    <row r="21" spans="2:10">
      <c r="B21" s="11" t="s">
        <v>8</v>
      </c>
      <c r="C21" s="26">
        <v>3</v>
      </c>
      <c r="D21" s="12">
        <v>87.1</v>
      </c>
      <c r="E21" s="12">
        <v>97.2</v>
      </c>
      <c r="F21" s="12">
        <v>67.400000000000006</v>
      </c>
      <c r="G21" s="12">
        <v>106.6</v>
      </c>
      <c r="H21" s="12">
        <v>90.1</v>
      </c>
      <c r="I21" s="12">
        <v>96.9</v>
      </c>
      <c r="J21" s="12">
        <v>91.8</v>
      </c>
    </row>
    <row r="22" spans="2:10">
      <c r="B22" s="11" t="s">
        <v>20</v>
      </c>
      <c r="C22" s="26">
        <v>15</v>
      </c>
      <c r="D22" s="12">
        <v>92</v>
      </c>
      <c r="E22" s="12">
        <v>101.3</v>
      </c>
      <c r="F22" s="12">
        <v>73.7</v>
      </c>
      <c r="G22" s="12">
        <v>104.4</v>
      </c>
      <c r="H22" s="12">
        <v>92</v>
      </c>
      <c r="I22" s="12">
        <v>83.7</v>
      </c>
      <c r="J22" s="12">
        <v>101.3</v>
      </c>
    </row>
    <row r="23" spans="2:10">
      <c r="B23" s="11" t="s">
        <v>18</v>
      </c>
      <c r="C23" s="26">
        <v>13</v>
      </c>
      <c r="D23" s="12">
        <v>91</v>
      </c>
      <c r="E23" s="12">
        <v>95</v>
      </c>
      <c r="F23" s="12">
        <v>81.599999999999994</v>
      </c>
      <c r="G23" s="12">
        <v>84</v>
      </c>
      <c r="H23" s="12">
        <v>95.8</v>
      </c>
      <c r="I23" s="12">
        <v>98.7</v>
      </c>
      <c r="J23" s="12">
        <v>96.5</v>
      </c>
    </row>
    <row r="24" spans="2:10">
      <c r="B24" s="11" t="s">
        <v>42</v>
      </c>
      <c r="C24" s="26">
        <v>37</v>
      </c>
      <c r="D24" s="12">
        <v>109.9</v>
      </c>
      <c r="E24" s="12">
        <v>101.8</v>
      </c>
      <c r="F24" s="12">
        <v>117.4</v>
      </c>
      <c r="G24" s="12">
        <v>106.7</v>
      </c>
      <c r="H24" s="12">
        <v>109</v>
      </c>
      <c r="I24" s="12">
        <v>102.9</v>
      </c>
      <c r="J24" s="12">
        <v>109.3</v>
      </c>
    </row>
    <row r="25" spans="2:10">
      <c r="B25" s="11" t="s">
        <v>50</v>
      </c>
      <c r="C25" s="26">
        <v>45</v>
      </c>
      <c r="D25" s="12">
        <v>116.5</v>
      </c>
      <c r="E25" s="12">
        <v>106.4</v>
      </c>
      <c r="F25" s="12">
        <v>146.4</v>
      </c>
      <c r="G25" s="12">
        <v>110.7</v>
      </c>
      <c r="H25" s="12">
        <v>98.3</v>
      </c>
      <c r="I25" s="12">
        <v>97.4</v>
      </c>
      <c r="J25" s="12">
        <v>105.9</v>
      </c>
    </row>
    <row r="26" spans="2:10">
      <c r="B26" s="11" t="s">
        <v>54</v>
      </c>
      <c r="C26" s="26">
        <v>49</v>
      </c>
      <c r="D26" s="12">
        <v>146.5</v>
      </c>
      <c r="E26" s="12">
        <v>105.3</v>
      </c>
      <c r="F26" s="12">
        <v>218.5</v>
      </c>
      <c r="G26" s="12">
        <v>133.9</v>
      </c>
      <c r="H26" s="12">
        <v>117.5</v>
      </c>
      <c r="I26" s="12">
        <v>112.9</v>
      </c>
      <c r="J26" s="12">
        <v>121.6</v>
      </c>
    </row>
    <row r="27" spans="2:10">
      <c r="B27" s="11" t="s">
        <v>15</v>
      </c>
      <c r="C27" s="26">
        <v>10</v>
      </c>
      <c r="D27" s="12">
        <v>90.6</v>
      </c>
      <c r="E27" s="12">
        <v>98.8</v>
      </c>
      <c r="F27" s="12">
        <v>77.099999999999994</v>
      </c>
      <c r="G27" s="12">
        <v>101.1</v>
      </c>
      <c r="H27" s="12">
        <v>96.7</v>
      </c>
      <c r="I27" s="12">
        <v>93.3</v>
      </c>
      <c r="J27" s="12">
        <v>93.1</v>
      </c>
    </row>
    <row r="28" spans="2:10">
      <c r="B28" s="11" t="s">
        <v>26</v>
      </c>
      <c r="C28" s="26">
        <v>21</v>
      </c>
      <c r="D28" s="12">
        <v>94.1</v>
      </c>
      <c r="E28" s="12">
        <v>98.2</v>
      </c>
      <c r="F28" s="12">
        <v>82.1</v>
      </c>
      <c r="G28" s="12">
        <v>93.4</v>
      </c>
      <c r="H28" s="12">
        <v>97.2</v>
      </c>
      <c r="I28" s="12">
        <v>109.2</v>
      </c>
      <c r="J28" s="12">
        <v>99.5</v>
      </c>
    </row>
    <row r="29" spans="2:10">
      <c r="B29" s="11" t="s">
        <v>7</v>
      </c>
      <c r="C29" s="26">
        <v>2</v>
      </c>
      <c r="D29" s="12">
        <v>86.3</v>
      </c>
      <c r="E29" s="12">
        <v>97.2</v>
      </c>
      <c r="F29" s="12">
        <v>70.900000000000006</v>
      </c>
      <c r="G29" s="12">
        <v>86</v>
      </c>
      <c r="H29" s="12">
        <v>87.7</v>
      </c>
      <c r="I29" s="12">
        <v>98.4</v>
      </c>
      <c r="J29" s="12">
        <v>92.5</v>
      </c>
    </row>
    <row r="30" spans="2:10">
      <c r="B30" s="11" t="s">
        <v>11</v>
      </c>
      <c r="C30" s="26">
        <v>6</v>
      </c>
      <c r="D30" s="12">
        <v>88.5</v>
      </c>
      <c r="E30" s="12">
        <v>95.3</v>
      </c>
      <c r="F30" s="12">
        <v>77</v>
      </c>
      <c r="G30" s="12">
        <v>98.6</v>
      </c>
      <c r="H30" s="12">
        <v>90.9</v>
      </c>
      <c r="I30" s="12">
        <v>89.9</v>
      </c>
      <c r="J30" s="12">
        <v>91.5</v>
      </c>
    </row>
    <row r="31" spans="2:10">
      <c r="B31" s="11" t="s">
        <v>38</v>
      </c>
      <c r="C31" s="26">
        <v>33</v>
      </c>
      <c r="D31" s="12">
        <v>102.9</v>
      </c>
      <c r="E31" s="12">
        <v>102.5</v>
      </c>
      <c r="F31" s="12">
        <v>103.8</v>
      </c>
      <c r="G31" s="12">
        <v>92.8</v>
      </c>
      <c r="H31" s="12">
        <v>109</v>
      </c>
      <c r="I31" s="12">
        <v>97.7</v>
      </c>
      <c r="J31" s="12">
        <v>103.8</v>
      </c>
    </row>
    <row r="32" spans="2:10">
      <c r="B32" s="11" t="s">
        <v>17</v>
      </c>
      <c r="C32" s="26">
        <v>12</v>
      </c>
      <c r="D32" s="12">
        <v>90.9</v>
      </c>
      <c r="E32" s="12">
        <v>95.8</v>
      </c>
      <c r="F32" s="12">
        <v>78.599999999999994</v>
      </c>
      <c r="G32" s="12">
        <v>85.7</v>
      </c>
      <c r="H32" s="12">
        <v>100</v>
      </c>
      <c r="I32" s="12">
        <v>97.9</v>
      </c>
      <c r="J32" s="12">
        <v>96.4</v>
      </c>
    </row>
    <row r="33" spans="2:10">
      <c r="B33" s="11" t="s">
        <v>35</v>
      </c>
      <c r="C33" s="26">
        <v>30</v>
      </c>
      <c r="D33" s="12">
        <v>101</v>
      </c>
      <c r="E33" s="12">
        <v>102.9</v>
      </c>
      <c r="F33" s="12">
        <v>107.4</v>
      </c>
      <c r="G33" s="12">
        <v>99.1</v>
      </c>
      <c r="H33" s="12">
        <v>116.6</v>
      </c>
      <c r="I33" s="12">
        <v>91.7</v>
      </c>
      <c r="J33" s="12">
        <v>91.6</v>
      </c>
    </row>
    <row r="34" spans="2:10">
      <c r="B34" s="11" t="s">
        <v>46</v>
      </c>
      <c r="C34" s="26">
        <v>41</v>
      </c>
      <c r="D34" s="12">
        <v>114.1</v>
      </c>
      <c r="E34" s="12">
        <v>102</v>
      </c>
      <c r="F34" s="12">
        <v>109.5</v>
      </c>
      <c r="G34" s="12">
        <v>131</v>
      </c>
      <c r="H34" s="12">
        <v>109.9</v>
      </c>
      <c r="I34" s="12">
        <v>113.2</v>
      </c>
      <c r="J34" s="12">
        <v>120.2</v>
      </c>
    </row>
    <row r="35" spans="2:10">
      <c r="B35" s="11" t="s">
        <v>45</v>
      </c>
      <c r="C35" s="26">
        <v>40</v>
      </c>
      <c r="D35" s="12">
        <v>113.9</v>
      </c>
      <c r="E35" s="12">
        <v>102.6</v>
      </c>
      <c r="F35" s="12">
        <v>135.80000000000001</v>
      </c>
      <c r="G35" s="12">
        <v>108.3</v>
      </c>
      <c r="H35" s="12">
        <v>104.7</v>
      </c>
      <c r="I35" s="12">
        <v>99.3</v>
      </c>
      <c r="J35" s="12">
        <v>107.1</v>
      </c>
    </row>
    <row r="36" spans="2:10">
      <c r="B36" s="11" t="s">
        <v>25</v>
      </c>
      <c r="C36" s="26">
        <v>20</v>
      </c>
      <c r="D36" s="12">
        <v>94</v>
      </c>
      <c r="E36" s="12">
        <v>96.4</v>
      </c>
      <c r="F36" s="12">
        <v>87.3</v>
      </c>
      <c r="G36" s="12">
        <v>93.1</v>
      </c>
      <c r="H36" s="12">
        <v>94.7</v>
      </c>
      <c r="I36" s="12">
        <v>99.3</v>
      </c>
      <c r="J36" s="12">
        <v>97.9</v>
      </c>
    </row>
    <row r="37" spans="2:10">
      <c r="B37" s="11" t="s">
        <v>52</v>
      </c>
      <c r="C37" s="26">
        <v>47</v>
      </c>
      <c r="D37" s="12">
        <v>125.9</v>
      </c>
      <c r="E37" s="12">
        <v>103.2</v>
      </c>
      <c r="F37" s="12">
        <v>176</v>
      </c>
      <c r="G37" s="12">
        <v>103.1</v>
      </c>
      <c r="H37" s="12">
        <v>106</v>
      </c>
      <c r="I37" s="12">
        <v>106.4</v>
      </c>
      <c r="J37" s="12">
        <v>108.8</v>
      </c>
    </row>
    <row r="38" spans="2:10">
      <c r="B38" s="11" t="s">
        <v>31</v>
      </c>
      <c r="C38" s="26">
        <v>26</v>
      </c>
      <c r="D38" s="12">
        <v>95.3</v>
      </c>
      <c r="E38" s="12">
        <v>98.1</v>
      </c>
      <c r="F38" s="12">
        <v>90.2</v>
      </c>
      <c r="G38" s="12">
        <v>94.5</v>
      </c>
      <c r="H38" s="12">
        <v>91.8</v>
      </c>
      <c r="I38" s="12">
        <v>108.1</v>
      </c>
      <c r="J38" s="12">
        <v>97.9</v>
      </c>
    </row>
    <row r="39" spans="2:10">
      <c r="B39" s="11" t="s">
        <v>27</v>
      </c>
      <c r="C39" s="26">
        <v>22</v>
      </c>
      <c r="D39" s="12">
        <v>94.6</v>
      </c>
      <c r="E39" s="12">
        <v>94.2</v>
      </c>
      <c r="F39" s="12">
        <v>83.4</v>
      </c>
      <c r="G39" s="12">
        <v>99.2</v>
      </c>
      <c r="H39" s="12">
        <v>99.3</v>
      </c>
      <c r="I39" s="12">
        <v>111.2</v>
      </c>
      <c r="J39" s="12">
        <v>99.2</v>
      </c>
    </row>
    <row r="40" spans="2:10">
      <c r="B40" s="11" t="s">
        <v>28</v>
      </c>
      <c r="C40" s="26">
        <v>23</v>
      </c>
      <c r="D40" s="12">
        <v>94.7</v>
      </c>
      <c r="E40" s="12">
        <v>101.4</v>
      </c>
      <c r="F40" s="12">
        <v>81.2</v>
      </c>
      <c r="G40" s="12">
        <v>99.2</v>
      </c>
      <c r="H40" s="12">
        <v>100.4</v>
      </c>
      <c r="I40" s="12">
        <v>97.9</v>
      </c>
      <c r="J40" s="12">
        <v>99.5</v>
      </c>
    </row>
    <row r="41" spans="2:10">
      <c r="B41" s="11" t="s">
        <v>6</v>
      </c>
      <c r="C41" s="26">
        <v>1</v>
      </c>
      <c r="D41" s="12">
        <v>86.2</v>
      </c>
      <c r="E41" s="12">
        <v>94.4</v>
      </c>
      <c r="F41" s="12">
        <v>68.5</v>
      </c>
      <c r="G41" s="12">
        <v>98.2</v>
      </c>
      <c r="H41" s="12">
        <v>92.6</v>
      </c>
      <c r="I41" s="12">
        <v>92.6</v>
      </c>
      <c r="J41" s="12">
        <v>91.3</v>
      </c>
    </row>
    <row r="42" spans="2:10">
      <c r="B42" s="11" t="s">
        <v>47</v>
      </c>
      <c r="C42" s="26">
        <v>42</v>
      </c>
      <c r="D42" s="12">
        <v>114.7</v>
      </c>
      <c r="E42" s="12">
        <v>108.8</v>
      </c>
      <c r="F42" s="12">
        <v>136.30000000000001</v>
      </c>
      <c r="G42" s="12">
        <v>95.9</v>
      </c>
      <c r="H42" s="12">
        <v>116.6</v>
      </c>
      <c r="I42" s="12">
        <v>105.3</v>
      </c>
      <c r="J42" s="12">
        <v>104.9</v>
      </c>
    </row>
    <row r="43" spans="2:10">
      <c r="B43" s="11" t="s">
        <v>32</v>
      </c>
      <c r="C43" s="26">
        <v>27</v>
      </c>
      <c r="D43" s="12">
        <v>95.6</v>
      </c>
      <c r="E43" s="12">
        <v>99.5</v>
      </c>
      <c r="F43" s="12">
        <v>81.900000000000006</v>
      </c>
      <c r="G43" s="12">
        <v>107.3</v>
      </c>
      <c r="H43" s="12">
        <v>105.6</v>
      </c>
      <c r="I43" s="12">
        <v>94.3</v>
      </c>
      <c r="J43" s="12">
        <v>99.3</v>
      </c>
    </row>
    <row r="44" spans="2:10">
      <c r="B44" s="11" t="s">
        <v>43</v>
      </c>
      <c r="C44" s="26">
        <v>38</v>
      </c>
      <c r="D44" s="12">
        <v>110.7</v>
      </c>
      <c r="E44" s="12">
        <v>101.7</v>
      </c>
      <c r="F44" s="12">
        <v>116.8</v>
      </c>
      <c r="G44" s="12">
        <v>112.4</v>
      </c>
      <c r="H44" s="12">
        <v>92.5</v>
      </c>
      <c r="I44" s="12">
        <v>107.7</v>
      </c>
      <c r="J44" s="12">
        <v>115.3</v>
      </c>
    </row>
    <row r="45" spans="2:10">
      <c r="B45" s="11" t="s">
        <v>30</v>
      </c>
      <c r="C45" s="26">
        <v>25</v>
      </c>
      <c r="D45" s="12">
        <v>95.3</v>
      </c>
      <c r="E45" s="12">
        <v>99.2</v>
      </c>
      <c r="F45" s="12">
        <v>86.5</v>
      </c>
      <c r="G45" s="12">
        <v>106.5</v>
      </c>
      <c r="H45" s="12">
        <v>90.8</v>
      </c>
      <c r="I45" s="12">
        <v>94.5</v>
      </c>
      <c r="J45" s="12">
        <v>99.5</v>
      </c>
    </row>
    <row r="46" spans="2:10">
      <c r="B46" s="11" t="s">
        <v>22</v>
      </c>
      <c r="C46" s="26">
        <v>17</v>
      </c>
      <c r="D46" s="12">
        <v>92.4</v>
      </c>
      <c r="E46" s="12">
        <v>97</v>
      </c>
      <c r="F46" s="12">
        <v>87.1</v>
      </c>
      <c r="G46" s="12">
        <v>87.5</v>
      </c>
      <c r="H46" s="12">
        <v>97.4</v>
      </c>
      <c r="I46" s="12">
        <v>97.9</v>
      </c>
      <c r="J46" s="12">
        <v>93.7</v>
      </c>
    </row>
    <row r="47" spans="2:10">
      <c r="B47" s="11" t="s">
        <v>13</v>
      </c>
      <c r="C47" s="26">
        <v>8</v>
      </c>
      <c r="D47" s="12">
        <v>90.3</v>
      </c>
      <c r="E47" s="12">
        <v>97.7</v>
      </c>
      <c r="F47" s="12">
        <v>82.4</v>
      </c>
      <c r="G47" s="12">
        <v>92.6</v>
      </c>
      <c r="H47" s="12">
        <v>88.7</v>
      </c>
      <c r="I47" s="12">
        <v>88.1</v>
      </c>
      <c r="J47" s="12">
        <v>93.9</v>
      </c>
    </row>
    <row r="48" spans="2:10">
      <c r="B48" s="11" t="s">
        <v>24</v>
      </c>
      <c r="C48" s="26">
        <v>19</v>
      </c>
      <c r="D48" s="12">
        <v>92.7</v>
      </c>
      <c r="E48" s="12">
        <v>95.7</v>
      </c>
      <c r="F48" s="12">
        <v>83.1</v>
      </c>
      <c r="G48" s="12">
        <v>104</v>
      </c>
      <c r="H48" s="12">
        <v>91.8</v>
      </c>
      <c r="I48" s="12">
        <v>93.9</v>
      </c>
      <c r="J48" s="12">
        <v>96.4</v>
      </c>
    </row>
    <row r="49" spans="1:10">
      <c r="B49" s="11" t="s">
        <v>39</v>
      </c>
      <c r="C49" s="26">
        <v>34</v>
      </c>
      <c r="D49" s="12">
        <v>103.2</v>
      </c>
      <c r="E49" s="12">
        <v>99.3</v>
      </c>
      <c r="F49" s="12">
        <v>110.7</v>
      </c>
      <c r="G49" s="12">
        <v>94.9</v>
      </c>
      <c r="H49" s="12">
        <v>105.1</v>
      </c>
      <c r="I49" s="12">
        <v>91</v>
      </c>
      <c r="J49" s="12">
        <v>101.9</v>
      </c>
    </row>
    <row r="50" spans="1:10">
      <c r="B50" s="11" t="s">
        <v>48</v>
      </c>
      <c r="C50" s="26">
        <v>43</v>
      </c>
      <c r="D50" s="12">
        <v>115.3</v>
      </c>
      <c r="E50" s="12">
        <v>104.8</v>
      </c>
      <c r="F50" s="12">
        <v>133.1</v>
      </c>
      <c r="G50" s="12">
        <v>120.8</v>
      </c>
      <c r="H50" s="12">
        <v>106.9</v>
      </c>
      <c r="I50" s="12">
        <v>106</v>
      </c>
      <c r="J50" s="12">
        <v>107.5</v>
      </c>
    </row>
    <row r="51" spans="1:10">
      <c r="B51" s="11" t="s">
        <v>37</v>
      </c>
      <c r="C51" s="26">
        <v>32</v>
      </c>
      <c r="D51" s="12">
        <v>101.9</v>
      </c>
      <c r="E51" s="12">
        <v>100.6</v>
      </c>
      <c r="F51" s="12">
        <v>105.7</v>
      </c>
      <c r="G51" s="12">
        <v>104.3</v>
      </c>
      <c r="H51" s="12">
        <v>94.8</v>
      </c>
      <c r="I51" s="12">
        <v>102.2</v>
      </c>
      <c r="J51" s="12">
        <v>101</v>
      </c>
    </row>
    <row r="52" spans="1:10">
      <c r="B52" s="11" t="s">
        <v>49</v>
      </c>
      <c r="C52" s="26">
        <v>44</v>
      </c>
      <c r="D52" s="12">
        <v>116</v>
      </c>
      <c r="E52" s="12">
        <v>109.8</v>
      </c>
      <c r="F52" s="12">
        <v>128.69999999999999</v>
      </c>
      <c r="G52" s="12">
        <v>92.1</v>
      </c>
      <c r="H52" s="12">
        <v>123.3</v>
      </c>
      <c r="I52" s="12">
        <v>120.4</v>
      </c>
      <c r="J52" s="12">
        <v>111.3</v>
      </c>
    </row>
    <row r="53" spans="1:10">
      <c r="B53" s="11" t="s">
        <v>9</v>
      </c>
      <c r="C53" s="26">
        <v>4</v>
      </c>
      <c r="D53" s="12">
        <v>87.7</v>
      </c>
      <c r="E53" s="12">
        <v>98.4</v>
      </c>
      <c r="F53" s="12">
        <v>66.900000000000006</v>
      </c>
      <c r="G53" s="12">
        <v>95.7</v>
      </c>
      <c r="H53" s="12">
        <v>94</v>
      </c>
      <c r="I53" s="12">
        <v>96.6</v>
      </c>
      <c r="J53" s="12">
        <v>95</v>
      </c>
    </row>
    <row r="54" spans="1:10">
      <c r="B54" s="11" t="s">
        <v>29</v>
      </c>
      <c r="C54" s="26">
        <v>24</v>
      </c>
      <c r="D54" s="12">
        <v>95.1</v>
      </c>
      <c r="E54" s="12">
        <v>99.2</v>
      </c>
      <c r="F54" s="12">
        <v>84.7</v>
      </c>
      <c r="G54" s="12">
        <v>102.2</v>
      </c>
      <c r="H54" s="12">
        <v>97.9</v>
      </c>
      <c r="I54" s="12">
        <v>112.3</v>
      </c>
      <c r="J54" s="12">
        <v>96.9</v>
      </c>
    </row>
    <row r="55" spans="1:10">
      <c r="B55" s="11" t="s">
        <v>23</v>
      </c>
      <c r="C55" s="26">
        <v>18</v>
      </c>
      <c r="D55" s="12">
        <v>92.4</v>
      </c>
      <c r="E55" s="12">
        <v>102.3</v>
      </c>
      <c r="F55" s="12">
        <v>80</v>
      </c>
      <c r="G55" s="12">
        <v>87.6</v>
      </c>
      <c r="H55" s="12">
        <v>94.4</v>
      </c>
      <c r="I55" s="12">
        <v>100.1</v>
      </c>
      <c r="J55" s="12">
        <v>98</v>
      </c>
    </row>
    <row r="56" spans="1:10" ht="18">
      <c r="A56" s="4"/>
      <c r="B56" s="2"/>
      <c r="C56" s="3"/>
      <c r="D56" s="3"/>
      <c r="E56" s="3"/>
      <c r="F56" s="3"/>
      <c r="G56" s="3"/>
      <c r="H56" s="3"/>
      <c r="I56" s="3"/>
    </row>
  </sheetData>
  <sheetProtection sheet="1" objects="1" scenarios="1" sort="0"/>
  <mergeCells count="1">
    <mergeCell ref="A1:K1"/>
  </mergeCells>
  <pageMargins left="0.7" right="0.7" top="0.75" bottom="0.75" header="0.3" footer="0.3"/>
  <pageSetup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A147D-2A11-F846-AD80-EE39FAF1E7EE}">
  <sheetPr codeName="Sheet7">
    <tabColor theme="1" tint="0.34998626667073579"/>
  </sheetPr>
  <dimension ref="A1:J55"/>
  <sheetViews>
    <sheetView workbookViewId="0">
      <selection activeCell="I39" sqref="I39"/>
    </sheetView>
  </sheetViews>
  <sheetFormatPr baseColWidth="10" defaultColWidth="11" defaultRowHeight="16"/>
  <cols>
    <col min="1" max="1" width="6.83203125" bestFit="1" customWidth="1"/>
    <col min="2" max="2" width="17.83203125" bestFit="1" customWidth="1"/>
    <col min="3" max="5" width="20.6640625" bestFit="1" customWidth="1"/>
    <col min="6" max="8" width="14.5" bestFit="1" customWidth="1"/>
    <col min="9" max="9" width="29.5" bestFit="1" customWidth="1"/>
  </cols>
  <sheetData>
    <row r="1" spans="1:10" ht="33">
      <c r="A1" s="109" t="s">
        <v>112</v>
      </c>
      <c r="B1" s="109"/>
      <c r="C1" s="109"/>
      <c r="D1" s="109"/>
      <c r="E1" s="109"/>
      <c r="F1" s="109"/>
      <c r="G1" s="109"/>
      <c r="H1" s="109"/>
      <c r="I1" s="109"/>
      <c r="J1" s="109"/>
    </row>
    <row r="2" spans="1:10">
      <c r="B2" s="19"/>
      <c r="C2" s="19"/>
      <c r="D2" s="19"/>
      <c r="E2" s="19"/>
    </row>
    <row r="4" spans="1:10" ht="16" customHeight="1">
      <c r="B4" s="10" t="s">
        <v>58</v>
      </c>
      <c r="C4" s="18" t="s">
        <v>99</v>
      </c>
      <c r="D4" s="18" t="s">
        <v>98</v>
      </c>
      <c r="E4" s="18" t="s">
        <v>111</v>
      </c>
      <c r="F4" s="10" t="s">
        <v>60</v>
      </c>
      <c r="G4" s="10" t="s">
        <v>61</v>
      </c>
      <c r="H4" s="10" t="s">
        <v>62</v>
      </c>
    </row>
    <row r="5" spans="1:10">
      <c r="B5" t="s">
        <v>70</v>
      </c>
      <c r="C5" s="23">
        <v>71490</v>
      </c>
      <c r="D5" s="23">
        <v>85750</v>
      </c>
      <c r="E5" s="23">
        <v>86370</v>
      </c>
      <c r="F5" s="23">
        <v>146440</v>
      </c>
      <c r="G5" s="23">
        <v>146440</v>
      </c>
      <c r="H5" s="23">
        <v>204686</v>
      </c>
    </row>
    <row r="6" spans="1:10">
      <c r="B6" t="s">
        <v>54</v>
      </c>
      <c r="C6" s="23">
        <v>69748</v>
      </c>
      <c r="D6" s="23">
        <v>86345</v>
      </c>
      <c r="E6" s="23">
        <v>80467</v>
      </c>
      <c r="F6" s="23">
        <v>100535</v>
      </c>
      <c r="G6" s="23">
        <v>127172</v>
      </c>
      <c r="H6" s="23">
        <v>162422</v>
      </c>
    </row>
    <row r="7" spans="1:10">
      <c r="B7" t="s">
        <v>45</v>
      </c>
      <c r="C7" s="23">
        <v>73075</v>
      </c>
      <c r="D7" s="23">
        <v>74176</v>
      </c>
      <c r="E7" s="23">
        <v>83898</v>
      </c>
      <c r="F7" s="23">
        <v>99056</v>
      </c>
      <c r="G7" s="23">
        <v>122540</v>
      </c>
      <c r="H7" s="23">
        <v>155510</v>
      </c>
    </row>
    <row r="8" spans="1:10">
      <c r="B8" t="s">
        <v>50</v>
      </c>
      <c r="C8" s="23">
        <v>78711</v>
      </c>
      <c r="D8" s="23">
        <v>86223</v>
      </c>
      <c r="E8" s="23">
        <v>80002</v>
      </c>
      <c r="F8" s="23">
        <v>103083</v>
      </c>
      <c r="G8" s="23">
        <v>122385</v>
      </c>
      <c r="H8" s="23">
        <v>151613</v>
      </c>
    </row>
    <row r="9" spans="1:10">
      <c r="B9" t="s">
        <v>46</v>
      </c>
      <c r="C9" s="23">
        <v>74310</v>
      </c>
      <c r="D9" s="23">
        <v>81346</v>
      </c>
      <c r="E9" s="23">
        <v>83877</v>
      </c>
      <c r="F9" s="23">
        <v>98248</v>
      </c>
      <c r="G9" s="23">
        <v>136886</v>
      </c>
      <c r="H9" s="23">
        <v>151546</v>
      </c>
    </row>
    <row r="10" spans="1:10">
      <c r="B10" t="s">
        <v>44</v>
      </c>
      <c r="C10" s="23">
        <v>70396</v>
      </c>
      <c r="D10" s="23">
        <v>72812</v>
      </c>
      <c r="E10" s="23">
        <v>81909</v>
      </c>
      <c r="F10" s="23">
        <v>100639</v>
      </c>
      <c r="G10" s="23">
        <v>121958</v>
      </c>
      <c r="H10" s="23">
        <v>142596</v>
      </c>
    </row>
    <row r="11" spans="1:10">
      <c r="B11" t="s">
        <v>26</v>
      </c>
      <c r="C11" s="23">
        <v>67709</v>
      </c>
      <c r="D11" s="23">
        <v>71817</v>
      </c>
      <c r="E11" s="23">
        <v>71643</v>
      </c>
      <c r="F11" s="23">
        <v>90946</v>
      </c>
      <c r="G11" s="23">
        <v>114267</v>
      </c>
      <c r="H11" s="23">
        <v>141324</v>
      </c>
    </row>
    <row r="12" spans="1:10">
      <c r="B12" t="s">
        <v>49</v>
      </c>
      <c r="C12" s="23">
        <v>68139</v>
      </c>
      <c r="D12" s="23">
        <v>79726</v>
      </c>
      <c r="E12" s="23">
        <v>83121</v>
      </c>
      <c r="F12" s="23">
        <v>96890</v>
      </c>
      <c r="G12" s="23">
        <v>116345</v>
      </c>
      <c r="H12" s="23">
        <v>138487</v>
      </c>
    </row>
    <row r="13" spans="1:10">
      <c r="B13" t="s">
        <v>37</v>
      </c>
      <c r="C13" s="23">
        <v>70818</v>
      </c>
      <c r="D13" s="23">
        <v>77151</v>
      </c>
      <c r="E13" s="23">
        <v>75376</v>
      </c>
      <c r="F13" s="23">
        <v>93328</v>
      </c>
      <c r="G13" s="23">
        <v>111017</v>
      </c>
      <c r="H13" s="23">
        <v>134252</v>
      </c>
    </row>
    <row r="14" spans="1:10">
      <c r="B14" t="s">
        <v>40</v>
      </c>
      <c r="C14" s="23">
        <v>62735</v>
      </c>
      <c r="D14" s="23">
        <v>73034</v>
      </c>
      <c r="E14" s="23">
        <v>75710</v>
      </c>
      <c r="F14" s="23">
        <v>98365</v>
      </c>
      <c r="G14" s="23">
        <v>113822</v>
      </c>
      <c r="H14" s="23">
        <v>134146</v>
      </c>
    </row>
    <row r="15" spans="1:10">
      <c r="B15" t="s">
        <v>43</v>
      </c>
      <c r="C15" s="23">
        <v>61431</v>
      </c>
      <c r="D15" s="23">
        <v>62266</v>
      </c>
      <c r="E15" s="23">
        <v>70858</v>
      </c>
      <c r="F15" s="23">
        <v>90196</v>
      </c>
      <c r="G15" s="23">
        <v>109514</v>
      </c>
      <c r="H15" s="23">
        <v>130123</v>
      </c>
    </row>
    <row r="16" spans="1:10">
      <c r="B16" t="s">
        <v>48</v>
      </c>
      <c r="C16" s="23">
        <v>60901</v>
      </c>
      <c r="D16" s="23">
        <v>70066</v>
      </c>
      <c r="E16" s="23">
        <v>69936</v>
      </c>
      <c r="F16" s="23">
        <v>86394</v>
      </c>
      <c r="G16" s="23">
        <v>103763</v>
      </c>
      <c r="H16" s="23">
        <v>126550</v>
      </c>
    </row>
    <row r="17" spans="2:8">
      <c r="B17" t="s">
        <v>52</v>
      </c>
      <c r="C17" s="23">
        <v>52243</v>
      </c>
      <c r="D17" s="23">
        <v>67274</v>
      </c>
      <c r="E17" s="23">
        <v>68814</v>
      </c>
      <c r="F17" s="23">
        <v>84958</v>
      </c>
      <c r="G17" s="23">
        <v>103444</v>
      </c>
      <c r="H17" s="23">
        <v>126167</v>
      </c>
    </row>
    <row r="18" spans="2:8">
      <c r="B18" t="s">
        <v>56</v>
      </c>
      <c r="C18" s="23">
        <v>61648</v>
      </c>
      <c r="D18" s="23">
        <v>80108</v>
      </c>
      <c r="E18" s="23">
        <v>78788</v>
      </c>
      <c r="F18" s="23">
        <v>92578</v>
      </c>
      <c r="G18" s="23">
        <v>104704</v>
      </c>
      <c r="H18" s="23">
        <v>125621</v>
      </c>
    </row>
    <row r="19" spans="2:8">
      <c r="B19" t="s">
        <v>27</v>
      </c>
      <c r="C19" s="23">
        <v>61103</v>
      </c>
      <c r="D19" s="23">
        <v>66505</v>
      </c>
      <c r="E19" s="23">
        <v>70125</v>
      </c>
      <c r="F19" s="23">
        <v>90049</v>
      </c>
      <c r="G19" s="23">
        <v>93240</v>
      </c>
      <c r="H19" s="23">
        <v>124290</v>
      </c>
    </row>
    <row r="20" spans="2:8">
      <c r="B20" t="s">
        <v>36</v>
      </c>
      <c r="C20" s="23">
        <v>53659</v>
      </c>
      <c r="D20" s="23">
        <v>65012</v>
      </c>
      <c r="E20" s="23">
        <v>71279</v>
      </c>
      <c r="F20" s="23">
        <v>83174</v>
      </c>
      <c r="G20" s="23">
        <v>103598</v>
      </c>
      <c r="H20" s="23">
        <v>122908</v>
      </c>
    </row>
    <row r="21" spans="2:8">
      <c r="B21" t="s">
        <v>53</v>
      </c>
      <c r="C21" s="23">
        <v>62477</v>
      </c>
      <c r="D21" s="23">
        <v>70489</v>
      </c>
      <c r="E21" s="23">
        <v>75235</v>
      </c>
      <c r="F21" s="23">
        <v>93175</v>
      </c>
      <c r="G21" s="23">
        <v>104785</v>
      </c>
      <c r="H21" s="23">
        <v>122707</v>
      </c>
    </row>
    <row r="22" spans="2:8">
      <c r="B22" t="s">
        <v>21</v>
      </c>
      <c r="C22" s="23">
        <v>56690</v>
      </c>
      <c r="D22" s="23">
        <v>70145</v>
      </c>
      <c r="E22" s="23">
        <v>67102</v>
      </c>
      <c r="F22" s="23">
        <v>84892</v>
      </c>
      <c r="G22" s="23">
        <v>101951</v>
      </c>
      <c r="H22" s="23">
        <v>122289</v>
      </c>
    </row>
    <row r="23" spans="2:8">
      <c r="B23" t="s">
        <v>32</v>
      </c>
      <c r="C23" s="23">
        <v>56871</v>
      </c>
      <c r="D23" s="23">
        <v>64524</v>
      </c>
      <c r="E23" s="23">
        <v>66454</v>
      </c>
      <c r="F23" s="23">
        <v>80321</v>
      </c>
      <c r="G23" s="23">
        <v>100888</v>
      </c>
      <c r="H23" s="23">
        <v>122083</v>
      </c>
    </row>
    <row r="24" spans="2:8">
      <c r="B24" t="s">
        <v>51</v>
      </c>
      <c r="C24" s="23">
        <v>69739</v>
      </c>
      <c r="D24" s="23">
        <v>68734</v>
      </c>
      <c r="E24" s="23">
        <v>76191</v>
      </c>
      <c r="F24" s="23">
        <v>89932</v>
      </c>
      <c r="G24" s="23">
        <v>113035</v>
      </c>
      <c r="H24" s="23">
        <v>121062</v>
      </c>
    </row>
    <row r="25" spans="2:8">
      <c r="B25" t="s">
        <v>42</v>
      </c>
      <c r="C25" s="23">
        <v>53863</v>
      </c>
      <c r="D25" s="23">
        <v>58663</v>
      </c>
      <c r="E25" s="23">
        <v>61440</v>
      </c>
      <c r="F25" s="23">
        <v>79014</v>
      </c>
      <c r="G25" s="23">
        <v>95531</v>
      </c>
      <c r="H25" s="23">
        <v>119122</v>
      </c>
    </row>
    <row r="26" spans="2:8">
      <c r="B26" t="s">
        <v>47</v>
      </c>
      <c r="C26" s="23">
        <v>56730</v>
      </c>
      <c r="D26" s="23">
        <v>69165</v>
      </c>
      <c r="E26" s="23">
        <v>69653</v>
      </c>
      <c r="F26" s="23">
        <v>84418</v>
      </c>
      <c r="G26" s="23">
        <v>101989</v>
      </c>
      <c r="H26" s="23">
        <v>118493</v>
      </c>
    </row>
    <row r="27" spans="2:8">
      <c r="B27" t="s">
        <v>29</v>
      </c>
      <c r="C27" s="23">
        <v>58159</v>
      </c>
      <c r="D27" s="23">
        <v>62629</v>
      </c>
      <c r="E27" s="23">
        <v>63146</v>
      </c>
      <c r="F27" s="23">
        <v>81854</v>
      </c>
      <c r="G27" s="23">
        <v>99261</v>
      </c>
      <c r="H27" s="23">
        <v>118441</v>
      </c>
    </row>
    <row r="28" spans="2:8">
      <c r="B28" t="s">
        <v>14</v>
      </c>
      <c r="C28" s="23">
        <v>58557</v>
      </c>
      <c r="D28" s="23">
        <v>68718</v>
      </c>
      <c r="E28" s="23">
        <v>60971</v>
      </c>
      <c r="F28" s="23">
        <v>81351</v>
      </c>
      <c r="G28" s="23">
        <v>95739</v>
      </c>
      <c r="H28" s="23">
        <v>115320</v>
      </c>
    </row>
    <row r="29" spans="2:8">
      <c r="B29" t="s">
        <v>17</v>
      </c>
      <c r="C29" s="23">
        <v>57191</v>
      </c>
      <c r="D29" s="23">
        <v>67575</v>
      </c>
      <c r="E29" s="23">
        <v>65223</v>
      </c>
      <c r="F29" s="23">
        <v>83790</v>
      </c>
      <c r="G29" s="23">
        <v>99845</v>
      </c>
      <c r="H29" s="23">
        <v>115269</v>
      </c>
    </row>
    <row r="30" spans="2:8">
      <c r="B30" t="s">
        <v>8</v>
      </c>
      <c r="C30" s="23">
        <v>54788</v>
      </c>
      <c r="D30" s="23">
        <v>63938</v>
      </c>
      <c r="E30" s="23">
        <v>61158</v>
      </c>
      <c r="F30" s="23">
        <v>79752</v>
      </c>
      <c r="G30" s="23">
        <v>88271</v>
      </c>
      <c r="H30" s="23">
        <v>113151</v>
      </c>
    </row>
    <row r="31" spans="2:8">
      <c r="B31" t="s">
        <v>15</v>
      </c>
      <c r="C31" s="23">
        <v>54802</v>
      </c>
      <c r="D31" s="23">
        <v>60449</v>
      </c>
      <c r="E31" s="23">
        <v>63380</v>
      </c>
      <c r="F31" s="23">
        <v>75374</v>
      </c>
      <c r="G31" s="23">
        <v>93873</v>
      </c>
      <c r="H31" s="23">
        <v>111606</v>
      </c>
    </row>
    <row r="32" spans="2:8">
      <c r="B32" t="s">
        <v>39</v>
      </c>
      <c r="C32" s="23">
        <v>63924</v>
      </c>
      <c r="D32" s="23">
        <v>77067</v>
      </c>
      <c r="E32" s="23">
        <v>72772</v>
      </c>
      <c r="F32" s="23">
        <v>81900</v>
      </c>
      <c r="G32" s="23">
        <v>102941</v>
      </c>
      <c r="H32" s="23">
        <v>111065</v>
      </c>
    </row>
    <row r="33" spans="2:8">
      <c r="B33" t="s">
        <v>28</v>
      </c>
      <c r="C33" s="23">
        <v>48622</v>
      </c>
      <c r="D33" s="23">
        <v>61633</v>
      </c>
      <c r="E33" s="23">
        <v>61955</v>
      </c>
      <c r="F33" s="23">
        <v>76131</v>
      </c>
      <c r="G33" s="23">
        <v>90912</v>
      </c>
      <c r="H33" s="23">
        <v>110062</v>
      </c>
    </row>
    <row r="34" spans="2:8">
      <c r="B34" t="s">
        <v>38</v>
      </c>
      <c r="C34" s="23">
        <v>49403</v>
      </c>
      <c r="D34" s="23">
        <v>57679</v>
      </c>
      <c r="E34" s="23">
        <v>64836</v>
      </c>
      <c r="F34" s="23">
        <v>77872</v>
      </c>
      <c r="G34" s="23">
        <v>84019</v>
      </c>
      <c r="H34" s="23">
        <v>109438</v>
      </c>
    </row>
    <row r="35" spans="2:8">
      <c r="B35" t="s">
        <v>11</v>
      </c>
      <c r="C35" s="23">
        <v>54527</v>
      </c>
      <c r="D35" s="23">
        <v>61726</v>
      </c>
      <c r="E35" s="23">
        <v>61165</v>
      </c>
      <c r="F35" s="23">
        <v>75277</v>
      </c>
      <c r="G35" s="23">
        <v>89515</v>
      </c>
      <c r="H35" s="23">
        <v>109302</v>
      </c>
    </row>
    <row r="36" spans="2:8">
      <c r="B36" t="s">
        <v>31</v>
      </c>
      <c r="C36" s="23">
        <v>45530</v>
      </c>
      <c r="D36" s="23">
        <v>53369</v>
      </c>
      <c r="E36" s="23">
        <v>60072</v>
      </c>
      <c r="F36" s="23">
        <v>74849</v>
      </c>
      <c r="G36" s="23">
        <v>87369</v>
      </c>
      <c r="H36" s="23">
        <v>107128</v>
      </c>
    </row>
    <row r="37" spans="2:8">
      <c r="B37" t="s">
        <v>23</v>
      </c>
      <c r="C37" s="23">
        <v>63016</v>
      </c>
      <c r="D37" s="23">
        <v>62539</v>
      </c>
      <c r="E37" s="23">
        <v>65457</v>
      </c>
      <c r="F37" s="23">
        <v>82531</v>
      </c>
      <c r="G37" s="23">
        <v>93651</v>
      </c>
      <c r="H37" s="23">
        <v>104487</v>
      </c>
    </row>
    <row r="38" spans="2:8">
      <c r="B38" t="s">
        <v>22</v>
      </c>
      <c r="C38" s="23">
        <v>54144</v>
      </c>
      <c r="D38" s="23">
        <v>59463</v>
      </c>
      <c r="E38" s="23">
        <v>57253</v>
      </c>
      <c r="F38" s="23">
        <v>82039</v>
      </c>
      <c r="G38" s="23">
        <v>92794</v>
      </c>
      <c r="H38" s="23">
        <v>104379</v>
      </c>
    </row>
    <row r="39" spans="2:8">
      <c r="B39" t="s">
        <v>41</v>
      </c>
      <c r="C39" s="23">
        <v>51546</v>
      </c>
      <c r="D39" s="23">
        <v>62283</v>
      </c>
      <c r="E39" s="23">
        <v>64172</v>
      </c>
      <c r="F39" s="23">
        <v>80249</v>
      </c>
      <c r="G39" s="23">
        <v>90193</v>
      </c>
      <c r="H39" s="23">
        <v>104143</v>
      </c>
    </row>
    <row r="40" spans="2:8">
      <c r="B40" t="s">
        <v>16</v>
      </c>
      <c r="C40" s="23">
        <v>52726</v>
      </c>
      <c r="D40" s="23">
        <v>55821</v>
      </c>
      <c r="E40" s="23">
        <v>60490</v>
      </c>
      <c r="F40" s="23">
        <v>77183</v>
      </c>
      <c r="G40" s="23">
        <v>87742</v>
      </c>
      <c r="H40" s="23">
        <v>103638</v>
      </c>
    </row>
    <row r="41" spans="2:8">
      <c r="B41" t="s">
        <v>19</v>
      </c>
      <c r="C41" s="23">
        <v>50575</v>
      </c>
      <c r="D41" s="23">
        <v>59892</v>
      </c>
      <c r="E41" s="23">
        <v>60725</v>
      </c>
      <c r="F41" s="23">
        <v>75774</v>
      </c>
      <c r="G41" s="23">
        <v>89800</v>
      </c>
      <c r="H41" s="23">
        <v>102605</v>
      </c>
    </row>
    <row r="42" spans="2:8">
      <c r="B42" t="s">
        <v>24</v>
      </c>
      <c r="C42" s="23">
        <v>56896</v>
      </c>
      <c r="D42" s="23">
        <v>59785</v>
      </c>
      <c r="E42" s="23">
        <v>60040</v>
      </c>
      <c r="F42" s="23">
        <v>77611</v>
      </c>
      <c r="G42" s="23">
        <v>87228</v>
      </c>
      <c r="H42" s="23">
        <v>101753</v>
      </c>
    </row>
    <row r="43" spans="2:8">
      <c r="B43" t="s">
        <v>30</v>
      </c>
      <c r="C43" s="23">
        <v>48650</v>
      </c>
      <c r="D43" s="23">
        <v>57444</v>
      </c>
      <c r="E43" s="23">
        <v>59511</v>
      </c>
      <c r="F43" s="23">
        <v>72416</v>
      </c>
      <c r="G43" s="23">
        <v>82114</v>
      </c>
      <c r="H43" s="23">
        <v>100609</v>
      </c>
    </row>
    <row r="44" spans="2:8">
      <c r="B44" t="s">
        <v>34</v>
      </c>
      <c r="C44" s="23">
        <v>50480</v>
      </c>
      <c r="D44" s="23">
        <v>54644</v>
      </c>
      <c r="E44" s="23">
        <v>60429</v>
      </c>
      <c r="F44" s="23">
        <v>74131</v>
      </c>
      <c r="G44" s="23">
        <v>83396</v>
      </c>
      <c r="H44" s="23">
        <v>100476</v>
      </c>
    </row>
    <row r="45" spans="2:8">
      <c r="B45" t="s">
        <v>33</v>
      </c>
      <c r="C45" s="23">
        <v>52508</v>
      </c>
      <c r="D45" s="23">
        <v>58728</v>
      </c>
      <c r="E45" s="23">
        <v>62738</v>
      </c>
      <c r="F45" s="23">
        <v>77719</v>
      </c>
      <c r="G45" s="23">
        <v>87960</v>
      </c>
      <c r="H45" s="23">
        <v>97212</v>
      </c>
    </row>
    <row r="46" spans="2:8">
      <c r="B46" t="s">
        <v>35</v>
      </c>
      <c r="C46" s="23">
        <v>51863</v>
      </c>
      <c r="D46" s="23">
        <v>61864</v>
      </c>
      <c r="E46" s="23">
        <v>63473</v>
      </c>
      <c r="F46" s="23">
        <v>75983</v>
      </c>
      <c r="G46" s="23">
        <v>86618</v>
      </c>
      <c r="H46" s="23">
        <v>95950</v>
      </c>
    </row>
    <row r="47" spans="2:8">
      <c r="B47" t="s">
        <v>13</v>
      </c>
      <c r="C47" s="23">
        <v>47110</v>
      </c>
      <c r="D47" s="23">
        <v>56060</v>
      </c>
      <c r="E47" s="23">
        <v>57246</v>
      </c>
      <c r="F47" s="23">
        <v>71828</v>
      </c>
      <c r="G47" s="23">
        <v>85014</v>
      </c>
      <c r="H47" s="23">
        <v>95796</v>
      </c>
    </row>
    <row r="48" spans="2:8">
      <c r="B48" t="s">
        <v>20</v>
      </c>
      <c r="C48" s="23">
        <v>45018</v>
      </c>
      <c r="D48" s="23">
        <v>54555</v>
      </c>
      <c r="E48" s="23">
        <v>55971</v>
      </c>
      <c r="F48" s="23">
        <v>66902</v>
      </c>
      <c r="G48" s="23">
        <v>75700</v>
      </c>
      <c r="H48" s="23">
        <v>94937</v>
      </c>
    </row>
    <row r="49" spans="2:8">
      <c r="B49" t="s">
        <v>10</v>
      </c>
      <c r="C49" s="23">
        <v>47624</v>
      </c>
      <c r="D49" s="23">
        <v>49936</v>
      </c>
      <c r="E49" s="23">
        <v>56598</v>
      </c>
      <c r="F49" s="23">
        <v>67953</v>
      </c>
      <c r="G49" s="23">
        <v>77419</v>
      </c>
      <c r="H49" s="23">
        <v>94659</v>
      </c>
    </row>
    <row r="50" spans="2:8">
      <c r="B50" t="s">
        <v>18</v>
      </c>
      <c r="C50" s="23">
        <v>42826</v>
      </c>
      <c r="D50" s="23">
        <v>49973</v>
      </c>
      <c r="E50" s="23">
        <v>53028</v>
      </c>
      <c r="F50" s="23">
        <v>64762</v>
      </c>
      <c r="G50" s="23">
        <v>73393</v>
      </c>
      <c r="H50" s="23">
        <v>91366</v>
      </c>
    </row>
    <row r="51" spans="2:8">
      <c r="B51" t="s">
        <v>9</v>
      </c>
      <c r="C51" s="23">
        <v>47721</v>
      </c>
      <c r="D51" s="23">
        <v>50573</v>
      </c>
      <c r="E51" s="23">
        <v>56420</v>
      </c>
      <c r="F51" s="23">
        <v>62974</v>
      </c>
      <c r="G51" s="23">
        <v>81964</v>
      </c>
      <c r="H51" s="23">
        <v>90258</v>
      </c>
    </row>
    <row r="52" spans="2:8">
      <c r="B52" t="s">
        <v>6</v>
      </c>
      <c r="C52" s="23">
        <v>53040</v>
      </c>
      <c r="D52" s="23">
        <v>54434</v>
      </c>
      <c r="E52" s="23">
        <v>55358</v>
      </c>
      <c r="F52" s="23">
        <v>69182</v>
      </c>
      <c r="G52" s="23">
        <v>77166</v>
      </c>
      <c r="H52" s="23">
        <v>90043</v>
      </c>
    </row>
    <row r="53" spans="2:8">
      <c r="B53" t="s">
        <v>7</v>
      </c>
      <c r="C53" s="23">
        <v>40148</v>
      </c>
      <c r="D53" s="23">
        <v>42781</v>
      </c>
      <c r="E53" s="23">
        <v>48603</v>
      </c>
      <c r="F53" s="23">
        <v>60981</v>
      </c>
      <c r="G53" s="23">
        <v>70950</v>
      </c>
      <c r="H53" s="23">
        <v>86573</v>
      </c>
    </row>
    <row r="54" spans="2:8">
      <c r="B54" t="s">
        <v>12</v>
      </c>
      <c r="C54" s="23">
        <v>42752</v>
      </c>
      <c r="D54" s="23">
        <v>49781</v>
      </c>
      <c r="E54" s="23">
        <v>51164</v>
      </c>
      <c r="F54" s="23">
        <v>63835</v>
      </c>
      <c r="G54" s="23">
        <v>74475</v>
      </c>
      <c r="H54" s="23">
        <v>86039</v>
      </c>
    </row>
    <row r="55" spans="2:8">
      <c r="B55" t="s">
        <v>25</v>
      </c>
      <c r="C55" s="23">
        <v>47580</v>
      </c>
      <c r="D55" s="23">
        <v>48283</v>
      </c>
      <c r="E55" s="23">
        <v>54193</v>
      </c>
      <c r="F55" s="23">
        <v>69208</v>
      </c>
      <c r="G55" s="23">
        <v>71283</v>
      </c>
      <c r="H55" s="23">
        <v>82110</v>
      </c>
    </row>
  </sheetData>
  <sheetProtection sheet="1" sort="0"/>
  <mergeCells count="1">
    <mergeCell ref="A1:J1"/>
  </mergeCells>
  <phoneticPr fontId="26" type="noConversion"/>
  <conditionalFormatting sqref="E5:E55">
    <cfRule type="cellIs" dxfId="1" priority="2" operator="lessThan">
      <formula>10000</formula>
    </cfRule>
  </conditionalFormatting>
  <conditionalFormatting sqref="F5:H55">
    <cfRule type="cellIs" dxfId="0" priority="1" operator="lessThan">
      <formula>10000</formula>
    </cfRule>
  </conditionalFormatting>
  <pageMargins left="0.7" right="0.7" top="0.75" bottom="0.75" header="0.3" footer="0.3"/>
  <pageSetup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F07AD-3CDA-C04B-A448-45A95C2C15C0}">
  <sheetPr codeName="Sheet8">
    <tabColor theme="1" tint="0.34998626667073579"/>
  </sheetPr>
  <dimension ref="A1:L55"/>
  <sheetViews>
    <sheetView workbookViewId="0">
      <selection activeCell="I39" sqref="I39"/>
    </sheetView>
  </sheetViews>
  <sheetFormatPr baseColWidth="10" defaultColWidth="11" defaultRowHeight="16"/>
  <cols>
    <col min="1" max="1" width="6.83203125" bestFit="1" customWidth="1"/>
    <col min="2" max="5" width="17.5" bestFit="1" customWidth="1"/>
    <col min="6" max="6" width="14.6640625" bestFit="1" customWidth="1"/>
    <col min="7" max="7" width="17.5" bestFit="1" customWidth="1"/>
    <col min="8" max="8" width="14.6640625" bestFit="1" customWidth="1"/>
    <col min="9" max="9" width="17.5" bestFit="1" customWidth="1"/>
    <col min="10" max="10" width="14.6640625" bestFit="1" customWidth="1"/>
  </cols>
  <sheetData>
    <row r="1" spans="1:12" ht="32">
      <c r="A1" s="110" t="s">
        <v>106</v>
      </c>
      <c r="B1" s="110"/>
      <c r="C1" s="110"/>
      <c r="D1" s="110"/>
      <c r="E1" s="110"/>
      <c r="F1" s="110"/>
      <c r="G1" s="110"/>
      <c r="H1" s="110"/>
      <c r="I1" s="110"/>
      <c r="J1" s="110"/>
      <c r="K1" s="110"/>
    </row>
    <row r="2" spans="1:12">
      <c r="B2" s="17"/>
      <c r="C2" s="17"/>
      <c r="D2" s="17"/>
      <c r="E2" s="17"/>
      <c r="F2" s="17"/>
      <c r="G2" s="17"/>
      <c r="H2" s="17"/>
      <c r="I2" s="17"/>
      <c r="J2" s="17"/>
      <c r="K2" s="17"/>
      <c r="L2" s="17"/>
    </row>
    <row r="3" spans="1:12">
      <c r="B3" s="14"/>
      <c r="C3" s="14"/>
      <c r="D3" s="14"/>
      <c r="E3" s="14"/>
      <c r="F3" s="14"/>
      <c r="G3" s="14"/>
      <c r="H3" s="14"/>
      <c r="I3" s="14"/>
    </row>
    <row r="4" spans="1:12" ht="22" customHeight="1">
      <c r="B4" s="16" t="s">
        <v>0</v>
      </c>
      <c r="C4" s="16" t="s">
        <v>107</v>
      </c>
      <c r="D4" s="16" t="s">
        <v>108</v>
      </c>
      <c r="E4" s="16" t="s">
        <v>109</v>
      </c>
      <c r="F4" s="16" t="s">
        <v>110</v>
      </c>
      <c r="G4" s="16" t="s">
        <v>72</v>
      </c>
      <c r="H4" s="16" t="s">
        <v>74</v>
      </c>
      <c r="I4" s="16" t="s">
        <v>76</v>
      </c>
      <c r="J4" s="16" t="s">
        <v>78</v>
      </c>
    </row>
    <row r="5" spans="1:12">
      <c r="B5" t="s">
        <v>10</v>
      </c>
      <c r="C5" s="20">
        <v>2.5</v>
      </c>
      <c r="D5">
        <v>2.5</v>
      </c>
      <c r="E5">
        <v>3.4</v>
      </c>
      <c r="F5">
        <v>6.4</v>
      </c>
      <c r="G5">
        <v>7</v>
      </c>
      <c r="H5">
        <v>7</v>
      </c>
      <c r="I5">
        <v>6</v>
      </c>
      <c r="J5">
        <v>17</v>
      </c>
    </row>
    <row r="6" spans="1:12">
      <c r="B6" t="s">
        <v>51</v>
      </c>
      <c r="C6" s="20">
        <v>4.2</v>
      </c>
      <c r="D6">
        <v>4.2</v>
      </c>
      <c r="E6">
        <v>6.4</v>
      </c>
      <c r="F6">
        <v>8.3000000000000007</v>
      </c>
      <c r="G6">
        <v>44</v>
      </c>
      <c r="H6">
        <v>45</v>
      </c>
      <c r="I6">
        <v>44</v>
      </c>
      <c r="J6">
        <v>39</v>
      </c>
    </row>
    <row r="7" spans="1:12">
      <c r="B7" t="s">
        <v>41</v>
      </c>
      <c r="C7" s="20">
        <v>3.9</v>
      </c>
      <c r="D7">
        <v>3.8</v>
      </c>
      <c r="E7">
        <v>5.0999999999999996</v>
      </c>
      <c r="F7">
        <v>7.8</v>
      </c>
      <c r="G7">
        <v>38</v>
      </c>
      <c r="H7">
        <v>32</v>
      </c>
      <c r="I7">
        <v>27</v>
      </c>
      <c r="J7">
        <v>31</v>
      </c>
    </row>
    <row r="8" spans="1:12">
      <c r="B8" t="s">
        <v>12</v>
      </c>
      <c r="C8" s="20">
        <v>3.3</v>
      </c>
      <c r="D8">
        <v>3.2</v>
      </c>
      <c r="E8">
        <v>4</v>
      </c>
      <c r="F8">
        <v>6.2</v>
      </c>
      <c r="G8">
        <v>27</v>
      </c>
      <c r="H8">
        <v>23</v>
      </c>
      <c r="I8">
        <v>18</v>
      </c>
      <c r="J8">
        <v>13</v>
      </c>
    </row>
    <row r="9" spans="1:12">
      <c r="B9" t="s">
        <v>53</v>
      </c>
      <c r="C9" s="20">
        <v>4.8</v>
      </c>
      <c r="D9">
        <v>4.3</v>
      </c>
      <c r="E9">
        <v>7.3</v>
      </c>
      <c r="F9">
        <v>10.1</v>
      </c>
      <c r="G9">
        <v>49</v>
      </c>
      <c r="H9">
        <v>46</v>
      </c>
      <c r="I9">
        <v>51</v>
      </c>
      <c r="J9">
        <v>49</v>
      </c>
    </row>
    <row r="10" spans="1:12">
      <c r="B10" t="s">
        <v>40</v>
      </c>
      <c r="C10" s="20">
        <v>3.2</v>
      </c>
      <c r="D10">
        <v>3.1</v>
      </c>
      <c r="E10">
        <v>5.5</v>
      </c>
      <c r="F10">
        <v>6.8</v>
      </c>
      <c r="G10">
        <v>23</v>
      </c>
      <c r="H10">
        <v>19</v>
      </c>
      <c r="I10">
        <v>35</v>
      </c>
      <c r="J10">
        <v>24</v>
      </c>
    </row>
    <row r="11" spans="1:12">
      <c r="B11" t="s">
        <v>44</v>
      </c>
      <c r="C11" s="20">
        <v>3.8</v>
      </c>
      <c r="D11">
        <v>4.0999999999999996</v>
      </c>
      <c r="E11">
        <v>6.4</v>
      </c>
      <c r="F11">
        <v>8</v>
      </c>
      <c r="G11">
        <v>36</v>
      </c>
      <c r="H11">
        <v>40</v>
      </c>
      <c r="I11">
        <v>44</v>
      </c>
      <c r="J11">
        <v>34</v>
      </c>
    </row>
    <row r="12" spans="1:12">
      <c r="B12" t="s">
        <v>36</v>
      </c>
      <c r="C12" s="20">
        <v>4</v>
      </c>
      <c r="D12">
        <v>4.3</v>
      </c>
      <c r="E12">
        <v>5.5</v>
      </c>
      <c r="F12">
        <v>7.5</v>
      </c>
      <c r="G12">
        <v>42</v>
      </c>
      <c r="H12">
        <v>46</v>
      </c>
      <c r="I12">
        <v>35</v>
      </c>
      <c r="J12">
        <v>28</v>
      </c>
    </row>
    <row r="13" spans="1:12">
      <c r="B13" t="s">
        <v>55</v>
      </c>
      <c r="C13" s="20">
        <v>4.9000000000000004</v>
      </c>
      <c r="D13">
        <v>4.7</v>
      </c>
      <c r="E13">
        <v>6.8</v>
      </c>
      <c r="F13">
        <v>7.9</v>
      </c>
      <c r="G13">
        <v>50</v>
      </c>
      <c r="H13">
        <v>50</v>
      </c>
      <c r="I13">
        <v>47</v>
      </c>
      <c r="J13">
        <v>32</v>
      </c>
    </row>
    <row r="14" spans="1:12">
      <c r="B14" t="s">
        <v>34</v>
      </c>
      <c r="C14" s="20">
        <v>2.9</v>
      </c>
      <c r="D14">
        <v>3</v>
      </c>
      <c r="E14">
        <v>4.7</v>
      </c>
      <c r="F14">
        <v>8.1</v>
      </c>
      <c r="G14">
        <v>11</v>
      </c>
      <c r="H14">
        <v>17</v>
      </c>
      <c r="I14">
        <v>24</v>
      </c>
      <c r="J14">
        <v>36</v>
      </c>
    </row>
    <row r="15" spans="1:12">
      <c r="B15" t="s">
        <v>16</v>
      </c>
      <c r="C15" s="20">
        <v>3.2</v>
      </c>
      <c r="D15">
        <v>3.1</v>
      </c>
      <c r="E15">
        <v>3.9</v>
      </c>
      <c r="F15">
        <v>6.5</v>
      </c>
      <c r="G15">
        <v>23</v>
      </c>
      <c r="H15">
        <v>19</v>
      </c>
      <c r="I15">
        <v>13</v>
      </c>
      <c r="J15">
        <v>21</v>
      </c>
    </row>
    <row r="16" spans="1:12">
      <c r="B16" t="s">
        <v>56</v>
      </c>
      <c r="C16" s="20">
        <v>3</v>
      </c>
      <c r="D16">
        <v>3.3</v>
      </c>
      <c r="E16">
        <v>6</v>
      </c>
      <c r="F16">
        <v>11.7</v>
      </c>
      <c r="G16">
        <v>17</v>
      </c>
      <c r="H16">
        <v>26</v>
      </c>
      <c r="I16">
        <v>42</v>
      </c>
      <c r="J16">
        <v>50</v>
      </c>
    </row>
    <row r="17" spans="2:10">
      <c r="B17" t="s">
        <v>33</v>
      </c>
      <c r="C17" s="20">
        <v>3.1</v>
      </c>
      <c r="D17">
        <v>2.8</v>
      </c>
      <c r="E17">
        <v>3.6</v>
      </c>
      <c r="F17">
        <v>5.5</v>
      </c>
      <c r="G17">
        <v>22</v>
      </c>
      <c r="H17">
        <v>12</v>
      </c>
      <c r="I17">
        <v>9</v>
      </c>
      <c r="J17">
        <v>7</v>
      </c>
    </row>
    <row r="18" spans="2:10">
      <c r="B18" t="s">
        <v>21</v>
      </c>
      <c r="C18" s="20">
        <v>4.5</v>
      </c>
      <c r="D18">
        <v>4.5999999999999996</v>
      </c>
      <c r="E18">
        <v>6.1</v>
      </c>
      <c r="F18">
        <v>9.3000000000000007</v>
      </c>
      <c r="G18">
        <v>48</v>
      </c>
      <c r="H18">
        <v>49</v>
      </c>
      <c r="I18">
        <v>43</v>
      </c>
      <c r="J18">
        <v>44</v>
      </c>
    </row>
    <row r="19" spans="2:10">
      <c r="B19" t="s">
        <v>19</v>
      </c>
      <c r="C19" s="20">
        <v>3.3</v>
      </c>
      <c r="D19">
        <v>3.1</v>
      </c>
      <c r="E19">
        <v>3.9</v>
      </c>
      <c r="F19">
        <v>7.3</v>
      </c>
      <c r="G19">
        <v>27</v>
      </c>
      <c r="H19">
        <v>19</v>
      </c>
      <c r="I19">
        <v>13</v>
      </c>
      <c r="J19">
        <v>26</v>
      </c>
    </row>
    <row r="20" spans="2:10">
      <c r="B20" t="s">
        <v>14</v>
      </c>
      <c r="C20" s="20">
        <v>2.9</v>
      </c>
      <c r="D20">
        <v>2.8</v>
      </c>
      <c r="E20">
        <v>3.8</v>
      </c>
      <c r="F20">
        <v>5.2</v>
      </c>
      <c r="G20">
        <v>11</v>
      </c>
      <c r="H20">
        <v>12</v>
      </c>
      <c r="I20">
        <v>12</v>
      </c>
      <c r="J20">
        <v>6</v>
      </c>
    </row>
    <row r="21" spans="2:10">
      <c r="B21" t="s">
        <v>8</v>
      </c>
      <c r="C21" s="20">
        <v>2.7</v>
      </c>
      <c r="D21">
        <v>2.6</v>
      </c>
      <c r="E21">
        <v>3.3</v>
      </c>
      <c r="F21">
        <v>5.8</v>
      </c>
      <c r="G21">
        <v>9</v>
      </c>
      <c r="H21">
        <v>8</v>
      </c>
      <c r="I21">
        <v>5</v>
      </c>
      <c r="J21">
        <v>9</v>
      </c>
    </row>
    <row r="22" spans="2:10">
      <c r="B22" t="s">
        <v>20</v>
      </c>
      <c r="C22" s="20">
        <v>4.2</v>
      </c>
      <c r="D22">
        <v>4</v>
      </c>
      <c r="E22">
        <v>4.5</v>
      </c>
      <c r="F22">
        <v>6.5</v>
      </c>
      <c r="G22">
        <v>44</v>
      </c>
      <c r="H22">
        <v>38</v>
      </c>
      <c r="I22">
        <v>21</v>
      </c>
      <c r="J22">
        <v>21</v>
      </c>
    </row>
    <row r="23" spans="2:10">
      <c r="B23" t="s">
        <v>18</v>
      </c>
      <c r="C23" s="20">
        <v>3.7</v>
      </c>
      <c r="D23">
        <v>3.7</v>
      </c>
      <c r="E23">
        <v>5.6</v>
      </c>
      <c r="F23">
        <v>8.6</v>
      </c>
      <c r="G23">
        <v>34</v>
      </c>
      <c r="H23">
        <v>29</v>
      </c>
      <c r="I23">
        <v>38</v>
      </c>
      <c r="J23">
        <v>41</v>
      </c>
    </row>
    <row r="24" spans="2:10">
      <c r="B24" t="s">
        <v>42</v>
      </c>
      <c r="C24" s="20">
        <v>2.9</v>
      </c>
      <c r="D24">
        <v>2.8</v>
      </c>
      <c r="E24">
        <v>4.7</v>
      </c>
      <c r="F24">
        <v>5.0999999999999996</v>
      </c>
      <c r="G24">
        <v>11</v>
      </c>
      <c r="H24">
        <v>12</v>
      </c>
      <c r="I24">
        <v>24</v>
      </c>
      <c r="J24">
        <v>5</v>
      </c>
    </row>
    <row r="25" spans="2:10">
      <c r="B25" t="s">
        <v>50</v>
      </c>
      <c r="C25" s="20">
        <v>2.1</v>
      </c>
      <c r="D25">
        <v>3</v>
      </c>
      <c r="E25">
        <v>5.2</v>
      </c>
      <c r="F25">
        <v>6.4</v>
      </c>
      <c r="G25">
        <v>4</v>
      </c>
      <c r="H25">
        <v>17</v>
      </c>
      <c r="I25">
        <v>30</v>
      </c>
      <c r="J25">
        <v>17</v>
      </c>
    </row>
    <row r="26" spans="2:10">
      <c r="B26" t="s">
        <v>54</v>
      </c>
      <c r="C26" s="20">
        <v>3.4</v>
      </c>
      <c r="D26">
        <v>3.7</v>
      </c>
      <c r="E26">
        <v>5.4</v>
      </c>
      <c r="F26">
        <v>9.3000000000000007</v>
      </c>
      <c r="G26">
        <v>30</v>
      </c>
      <c r="H26">
        <v>29</v>
      </c>
      <c r="I26">
        <v>33</v>
      </c>
      <c r="J26">
        <v>44</v>
      </c>
    </row>
    <row r="27" spans="2:10">
      <c r="B27" t="s">
        <v>15</v>
      </c>
      <c r="C27" s="20">
        <v>3.9</v>
      </c>
      <c r="D27">
        <v>4.0999999999999996</v>
      </c>
      <c r="E27">
        <v>5.7</v>
      </c>
      <c r="F27">
        <v>10</v>
      </c>
      <c r="G27">
        <v>38</v>
      </c>
      <c r="H27">
        <v>40</v>
      </c>
      <c r="I27">
        <v>40</v>
      </c>
      <c r="J27">
        <v>48</v>
      </c>
    </row>
    <row r="28" spans="2:10">
      <c r="B28" t="s">
        <v>26</v>
      </c>
      <c r="C28" s="20">
        <v>2.8</v>
      </c>
      <c r="D28">
        <v>2.6</v>
      </c>
      <c r="E28">
        <v>3.7</v>
      </c>
      <c r="F28">
        <v>6.3</v>
      </c>
      <c r="G28">
        <v>10</v>
      </c>
      <c r="H28">
        <v>8</v>
      </c>
      <c r="I28">
        <v>11</v>
      </c>
      <c r="J28">
        <v>15</v>
      </c>
    </row>
    <row r="29" spans="2:10">
      <c r="B29" t="s">
        <v>7</v>
      </c>
      <c r="C29" s="20">
        <v>3.2</v>
      </c>
      <c r="D29">
        <v>3.8</v>
      </c>
      <c r="E29">
        <v>5.4</v>
      </c>
      <c r="F29">
        <v>8</v>
      </c>
      <c r="G29">
        <v>23</v>
      </c>
      <c r="H29">
        <v>32</v>
      </c>
      <c r="I29">
        <v>33</v>
      </c>
      <c r="J29">
        <v>34</v>
      </c>
    </row>
    <row r="30" spans="2:10">
      <c r="B30" t="s">
        <v>11</v>
      </c>
      <c r="C30" s="20">
        <v>3</v>
      </c>
      <c r="D30">
        <v>2.6</v>
      </c>
      <c r="E30">
        <v>4.2</v>
      </c>
      <c r="F30">
        <v>6.2</v>
      </c>
      <c r="G30">
        <v>17</v>
      </c>
      <c r="H30">
        <v>8</v>
      </c>
      <c r="I30">
        <v>20</v>
      </c>
      <c r="J30">
        <v>13</v>
      </c>
    </row>
    <row r="31" spans="2:10">
      <c r="B31" t="s">
        <v>38</v>
      </c>
      <c r="C31" s="20">
        <v>2.9</v>
      </c>
      <c r="D31">
        <v>2.7</v>
      </c>
      <c r="E31">
        <v>3.4</v>
      </c>
      <c r="F31">
        <v>5.8</v>
      </c>
      <c r="G31">
        <v>11</v>
      </c>
      <c r="H31">
        <v>11</v>
      </c>
      <c r="I31">
        <v>6</v>
      </c>
      <c r="J31">
        <v>9</v>
      </c>
    </row>
    <row r="32" spans="2:10">
      <c r="B32" t="s">
        <v>17</v>
      </c>
      <c r="C32" s="20">
        <v>2.2999999999999998</v>
      </c>
      <c r="D32">
        <v>2.2000000000000002</v>
      </c>
      <c r="E32">
        <v>2.6</v>
      </c>
      <c r="F32">
        <v>4.3</v>
      </c>
      <c r="G32">
        <v>6</v>
      </c>
      <c r="H32">
        <v>3</v>
      </c>
      <c r="I32">
        <v>1</v>
      </c>
      <c r="J32">
        <v>2</v>
      </c>
    </row>
    <row r="33" spans="2:10">
      <c r="B33" t="s">
        <v>35</v>
      </c>
      <c r="C33" s="20">
        <v>5.0999999999999996</v>
      </c>
      <c r="D33">
        <v>5.2</v>
      </c>
      <c r="E33">
        <v>6.8</v>
      </c>
      <c r="F33">
        <v>13.5</v>
      </c>
      <c r="G33">
        <v>51</v>
      </c>
      <c r="H33">
        <v>51</v>
      </c>
      <c r="I33">
        <v>47</v>
      </c>
      <c r="J33">
        <v>51</v>
      </c>
    </row>
    <row r="34" spans="2:10">
      <c r="B34" t="s">
        <v>46</v>
      </c>
      <c r="C34" s="20">
        <v>2.2000000000000002</v>
      </c>
      <c r="D34">
        <v>2.2999999999999998</v>
      </c>
      <c r="E34">
        <v>3.4</v>
      </c>
      <c r="F34">
        <v>6.7</v>
      </c>
      <c r="G34">
        <v>5</v>
      </c>
      <c r="H34">
        <v>4</v>
      </c>
      <c r="I34">
        <v>6</v>
      </c>
      <c r="J34">
        <v>23</v>
      </c>
    </row>
    <row r="35" spans="2:10">
      <c r="B35" t="s">
        <v>45</v>
      </c>
      <c r="C35" s="20">
        <v>4.4000000000000004</v>
      </c>
      <c r="D35">
        <v>3.9</v>
      </c>
      <c r="E35">
        <v>6.7</v>
      </c>
      <c r="F35">
        <v>9.4</v>
      </c>
      <c r="G35">
        <v>47</v>
      </c>
      <c r="H35">
        <v>34</v>
      </c>
      <c r="I35">
        <v>46</v>
      </c>
      <c r="J35">
        <v>46</v>
      </c>
    </row>
    <row r="36" spans="2:10">
      <c r="B36" t="s">
        <v>25</v>
      </c>
      <c r="C36" s="20">
        <v>3.8</v>
      </c>
      <c r="D36">
        <v>4.0999999999999996</v>
      </c>
      <c r="E36">
        <v>7.1</v>
      </c>
      <c r="F36">
        <v>7.9</v>
      </c>
      <c r="G36">
        <v>36</v>
      </c>
      <c r="H36">
        <v>40</v>
      </c>
      <c r="I36">
        <v>49</v>
      </c>
      <c r="J36">
        <v>32</v>
      </c>
    </row>
    <row r="37" spans="2:10">
      <c r="B37" t="s">
        <v>52</v>
      </c>
      <c r="C37" s="20">
        <v>4.2</v>
      </c>
      <c r="D37">
        <v>4.3</v>
      </c>
      <c r="E37">
        <v>7.1</v>
      </c>
      <c r="F37">
        <v>9.8000000000000007</v>
      </c>
      <c r="G37">
        <v>44</v>
      </c>
      <c r="H37">
        <v>46</v>
      </c>
      <c r="I37">
        <v>49</v>
      </c>
      <c r="J37">
        <v>47</v>
      </c>
    </row>
    <row r="38" spans="2:10">
      <c r="B38" t="s">
        <v>31</v>
      </c>
      <c r="C38" s="20">
        <v>3.5</v>
      </c>
      <c r="D38">
        <v>3.7</v>
      </c>
      <c r="E38">
        <v>4.9000000000000004</v>
      </c>
      <c r="F38">
        <v>7.2</v>
      </c>
      <c r="G38">
        <v>32</v>
      </c>
      <c r="H38">
        <v>29</v>
      </c>
      <c r="I38">
        <v>26</v>
      </c>
      <c r="J38">
        <v>25</v>
      </c>
    </row>
    <row r="39" spans="2:10">
      <c r="B39" t="s">
        <v>27</v>
      </c>
      <c r="C39" s="20">
        <v>1.9</v>
      </c>
      <c r="D39">
        <v>2</v>
      </c>
      <c r="E39">
        <v>3</v>
      </c>
      <c r="F39">
        <v>4.9000000000000004</v>
      </c>
      <c r="G39">
        <v>1</v>
      </c>
      <c r="H39">
        <v>1</v>
      </c>
      <c r="I39">
        <v>4</v>
      </c>
      <c r="J39">
        <v>4</v>
      </c>
    </row>
    <row r="40" spans="2:10">
      <c r="B40" t="s">
        <v>28</v>
      </c>
      <c r="C40" s="20">
        <v>3.5</v>
      </c>
      <c r="D40">
        <v>4</v>
      </c>
      <c r="E40">
        <v>5.0999999999999996</v>
      </c>
      <c r="F40">
        <v>8.1999999999999993</v>
      </c>
      <c r="G40">
        <v>32</v>
      </c>
      <c r="H40">
        <v>38</v>
      </c>
      <c r="I40">
        <v>27</v>
      </c>
      <c r="J40">
        <v>37</v>
      </c>
    </row>
    <row r="41" spans="2:10">
      <c r="B41" t="s">
        <v>6</v>
      </c>
      <c r="C41" s="20">
        <v>3.2</v>
      </c>
      <c r="D41">
        <v>3.1</v>
      </c>
      <c r="E41">
        <v>4</v>
      </c>
      <c r="F41">
        <v>6.3</v>
      </c>
      <c r="G41">
        <v>23</v>
      </c>
      <c r="H41">
        <v>19</v>
      </c>
      <c r="I41">
        <v>18</v>
      </c>
      <c r="J41">
        <v>15</v>
      </c>
    </row>
    <row r="42" spans="2:10">
      <c r="B42" t="s">
        <v>47</v>
      </c>
      <c r="C42" s="20">
        <v>3.7</v>
      </c>
      <c r="D42">
        <v>3.9</v>
      </c>
      <c r="E42">
        <v>5.2</v>
      </c>
      <c r="F42">
        <v>7.6</v>
      </c>
      <c r="G42">
        <v>34</v>
      </c>
      <c r="H42">
        <v>34</v>
      </c>
      <c r="I42">
        <v>30</v>
      </c>
      <c r="J42">
        <v>29</v>
      </c>
    </row>
    <row r="43" spans="2:10">
      <c r="B43" t="s">
        <v>32</v>
      </c>
      <c r="C43" s="20">
        <v>3.4</v>
      </c>
      <c r="D43">
        <v>4.0999999999999996</v>
      </c>
      <c r="E43">
        <v>5.9</v>
      </c>
      <c r="F43">
        <v>8.9</v>
      </c>
      <c r="G43">
        <v>30</v>
      </c>
      <c r="H43">
        <v>40</v>
      </c>
      <c r="I43">
        <v>41</v>
      </c>
      <c r="J43">
        <v>42</v>
      </c>
    </row>
    <row r="44" spans="2:10">
      <c r="B44" t="s">
        <v>43</v>
      </c>
      <c r="C44" s="20">
        <v>3</v>
      </c>
      <c r="D44">
        <v>3.2</v>
      </c>
      <c r="E44">
        <v>5.5</v>
      </c>
      <c r="F44">
        <v>9.1999999999999993</v>
      </c>
      <c r="G44">
        <v>17</v>
      </c>
      <c r="H44">
        <v>23</v>
      </c>
      <c r="I44">
        <v>35</v>
      </c>
      <c r="J44">
        <v>43</v>
      </c>
    </row>
    <row r="45" spans="2:10">
      <c r="B45" t="s">
        <v>30</v>
      </c>
      <c r="C45" s="20">
        <v>3</v>
      </c>
      <c r="D45">
        <v>3.2</v>
      </c>
      <c r="E45">
        <v>3.9</v>
      </c>
      <c r="F45">
        <v>6</v>
      </c>
      <c r="G45">
        <v>17</v>
      </c>
      <c r="H45">
        <v>23</v>
      </c>
      <c r="I45">
        <v>13</v>
      </c>
      <c r="J45">
        <v>12</v>
      </c>
    </row>
    <row r="46" spans="2:10">
      <c r="B46" t="s">
        <v>22</v>
      </c>
      <c r="C46" s="20">
        <v>2</v>
      </c>
      <c r="D46">
        <v>2</v>
      </c>
      <c r="E46">
        <v>2.6</v>
      </c>
      <c r="F46">
        <v>4.2</v>
      </c>
      <c r="G46">
        <v>2</v>
      </c>
      <c r="H46">
        <v>1</v>
      </c>
      <c r="I46">
        <v>1</v>
      </c>
      <c r="J46">
        <v>1</v>
      </c>
    </row>
    <row r="47" spans="2:10">
      <c r="B47" t="s">
        <v>13</v>
      </c>
      <c r="C47" s="20">
        <v>3.3</v>
      </c>
      <c r="D47">
        <v>3.4</v>
      </c>
      <c r="E47">
        <v>4.5</v>
      </c>
      <c r="F47">
        <v>7.4</v>
      </c>
      <c r="G47">
        <v>27</v>
      </c>
      <c r="H47">
        <v>27</v>
      </c>
      <c r="I47">
        <v>21</v>
      </c>
      <c r="J47">
        <v>27</v>
      </c>
    </row>
    <row r="48" spans="2:10">
      <c r="B48" t="s">
        <v>24</v>
      </c>
      <c r="C48" s="20">
        <v>3.9</v>
      </c>
      <c r="D48">
        <v>3.9</v>
      </c>
      <c r="E48">
        <v>5.6</v>
      </c>
      <c r="F48">
        <v>7.7</v>
      </c>
      <c r="G48">
        <v>38</v>
      </c>
      <c r="H48">
        <v>34</v>
      </c>
      <c r="I48">
        <v>38</v>
      </c>
      <c r="J48">
        <v>30</v>
      </c>
    </row>
    <row r="49" spans="2:10">
      <c r="B49" t="s">
        <v>39</v>
      </c>
      <c r="C49" s="20">
        <v>2.6</v>
      </c>
      <c r="D49">
        <v>2.4</v>
      </c>
      <c r="E49">
        <v>2.8</v>
      </c>
      <c r="F49">
        <v>4.8</v>
      </c>
      <c r="G49">
        <v>8</v>
      </c>
      <c r="H49">
        <v>6</v>
      </c>
      <c r="I49">
        <v>3</v>
      </c>
      <c r="J49">
        <v>3</v>
      </c>
    </row>
    <row r="50" spans="2:10">
      <c r="B50" t="s">
        <v>48</v>
      </c>
      <c r="C50" s="20">
        <v>2</v>
      </c>
      <c r="D50">
        <v>2.2999999999999998</v>
      </c>
      <c r="E50">
        <v>3.6</v>
      </c>
      <c r="F50">
        <v>5.6</v>
      </c>
      <c r="G50">
        <v>2</v>
      </c>
      <c r="H50">
        <v>4</v>
      </c>
      <c r="I50">
        <v>9</v>
      </c>
      <c r="J50">
        <v>8</v>
      </c>
    </row>
    <row r="51" spans="2:10">
      <c r="B51" t="s">
        <v>37</v>
      </c>
      <c r="C51" s="20">
        <v>2.9</v>
      </c>
      <c r="D51">
        <v>2.8</v>
      </c>
      <c r="E51">
        <v>3.9</v>
      </c>
      <c r="F51">
        <v>6.4</v>
      </c>
      <c r="G51">
        <v>11</v>
      </c>
      <c r="H51">
        <v>12</v>
      </c>
      <c r="I51">
        <v>13</v>
      </c>
      <c r="J51">
        <v>17</v>
      </c>
    </row>
    <row r="52" spans="2:10">
      <c r="B52" t="s">
        <v>49</v>
      </c>
      <c r="C52" s="20">
        <v>4.0999999999999996</v>
      </c>
      <c r="D52">
        <v>4.0999999999999996</v>
      </c>
      <c r="E52">
        <v>5.2</v>
      </c>
      <c r="F52">
        <v>8.5</v>
      </c>
      <c r="G52">
        <v>43</v>
      </c>
      <c r="H52">
        <v>40</v>
      </c>
      <c r="I52">
        <v>30</v>
      </c>
      <c r="J52">
        <v>40</v>
      </c>
    </row>
    <row r="53" spans="2:10">
      <c r="B53" t="s">
        <v>9</v>
      </c>
      <c r="C53" s="20">
        <v>3.9</v>
      </c>
      <c r="D53">
        <v>3.9</v>
      </c>
      <c r="E53">
        <v>5.0999999999999996</v>
      </c>
      <c r="F53">
        <v>8.1999999999999993</v>
      </c>
      <c r="G53">
        <v>38</v>
      </c>
      <c r="H53">
        <v>34</v>
      </c>
      <c r="I53">
        <v>27</v>
      </c>
      <c r="J53">
        <v>37</v>
      </c>
    </row>
    <row r="54" spans="2:10">
      <c r="B54" t="s">
        <v>29</v>
      </c>
      <c r="C54" s="20">
        <v>3</v>
      </c>
      <c r="D54">
        <v>2.9</v>
      </c>
      <c r="E54">
        <v>3.9</v>
      </c>
      <c r="F54">
        <v>6.4</v>
      </c>
      <c r="G54">
        <v>17</v>
      </c>
      <c r="H54">
        <v>16</v>
      </c>
      <c r="I54">
        <v>13</v>
      </c>
      <c r="J54">
        <v>17</v>
      </c>
    </row>
    <row r="55" spans="2:10">
      <c r="B55" t="s">
        <v>23</v>
      </c>
      <c r="C55" s="20">
        <v>2.9</v>
      </c>
      <c r="D55">
        <v>3.4</v>
      </c>
      <c r="E55">
        <v>4.5</v>
      </c>
      <c r="F55">
        <v>5.9</v>
      </c>
      <c r="G55">
        <v>11</v>
      </c>
      <c r="H55">
        <v>27</v>
      </c>
      <c r="I55">
        <v>21</v>
      </c>
      <c r="J55">
        <v>11</v>
      </c>
    </row>
  </sheetData>
  <sheetProtection sheet="1" objects="1" scenarios="1" sort="0"/>
  <mergeCells count="1">
    <mergeCell ref="A1:K1"/>
  </mergeCells>
  <pageMargins left="0.7" right="0.7" top="0.75" bottom="0.75" header="0.3" footer="0.3"/>
  <pageSetup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Information</vt:lpstr>
      <vt:lpstr>Education Rankings</vt:lpstr>
      <vt:lpstr>Living Conditions</vt:lpstr>
      <vt:lpstr>Income and Expense</vt:lpstr>
      <vt:lpstr>Income Comparision</vt:lpstr>
      <vt:lpstr>Unemployment Comparision</vt:lpstr>
      <vt:lpstr>US Population</vt:lpstr>
      <vt:lpstr>US Cost of Living Index 2023</vt:lpstr>
      <vt:lpstr>US Median Income 2012 - 2023</vt:lpstr>
      <vt:lpstr>US Unemployment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Khoa Pham</dc:creator>
  <cp:lastModifiedBy>Khoa Pham</cp:lastModifiedBy>
  <dcterms:created xsi:type="dcterms:W3CDTF">2024-04-28T22:11:26Z</dcterms:created>
  <dcterms:modified xsi:type="dcterms:W3CDTF">2024-12-31T05:36:03Z</dcterms:modified>
</cp:coreProperties>
</file>